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<sst xmlns="http://schemas.openxmlformats.org/spreadsheetml/2006/main" count="14" uniqueCount="12">
  <si>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 xml:space="preserve">dtc </t>
  </si>
  <si>
    <t>ideal time</t>
  </si>
  <si>
    <t>dtime</t>
  </si>
  <si>
    <t>actual time</t>
  </si>
  <si>
    <t>ideal-actual</t>
  </si>
  <si>
    <t>ddtime</t>
  </si>
  <si>
    <t>mash eo</t>
  </si>
  <si>
    <t>dtc gain</t>
  </si>
  <si>
    <t>dtc time</t>
  </si>
  <si>
    <t>ideal-dtc</t>
  </si>
  <si>
    <t>d dtc time</t>
  </si>
  <si>
    <t>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</si>
</sst>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workbookViewId="0">
      <selection activeCell="N26" sqref="N26"/>
    </sheetView>
  </sheetViews>
  <sheetFormatPr defaultColWidth="9" defaultRowHeight="13.5"/>
  <cols>
    <col min="1" max="1" width="5.375" customWidth="1"/>
    <col min="2" max="2" width="11.5" customWidth="1"/>
    <col min="3" max="3" width="6.375" customWidth="1"/>
    <col min="4" max="4" width="12.625" customWidth="1"/>
    <col min="5" max="8" width="13.75" customWidth="1"/>
    <col min="9" max="9" width="9.375" customWidth="1"/>
    <col min="10" max="11" width="12.625" customWidth="1"/>
    <col min="12" max="12" width="20.625" customWidth="1"/>
    <col min="13" max="13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</v>
      </c>
      <c r="M1" t="s">
        <v>10</v>
      </c>
    </row>
    <row r="2" spans="1:13">
      <c r="B2">
        <v>222555</v>
      </c>
      <c r="D2">
        <v>223084.1</v>
      </c>
      <c r="F2">
        <f>B2-D2</f>
        <v>-529.100000000006</v>
      </c>
      <c r="H2">
        <v>0</v>
      </c>
      <c r="I2" s="1">
        <v>1</v>
      </c>
      <c r="J2">
        <f>D2+H2*I2</f>
        <v>223084.1</v>
      </c>
      <c r="K2">
        <f>B2-J2</f>
        <v>-529.100000000006</v>
      </c>
    </row>
    <row r="3" spans="1:13">
      <c r="B3">
        <f>B2+802</f>
        <v>223357</v>
      </c>
      <c r="C3">
        <f>B3-B2</f>
        <v>802</v>
      </c>
      <c r="D3">
        <v>223892.1</v>
      </c>
      <c r="E3">
        <f>D2-D3</f>
        <v>-808</v>
      </c>
      <c r="F3">
        <f>B3-D3</f>
        <v>-535.100000000006</v>
      </c>
      <c r="G3">
        <f>F3-F2</f>
        <v>-6</v>
      </c>
      <c r="H3">
        <v>256</v>
      </c>
      <c r="I3">
        <f>I2</f>
        <v>1</v>
      </c>
      <c r="J3">
        <f>D3+H3*I3</f>
        <v>224148.1</v>
      </c>
      <c r="K3">
        <f>B3-J3</f>
        <v>-791.100000000006</v>
      </c>
      <c r="L3">
        <f>K3-K2</f>
        <v>-262</v>
      </c>
      <c r="M3">
        <f>J3-J2</f>
        <v>1064</v>
      </c>
    </row>
    <row r="4" spans="1:13">
      <c r="B4">
        <f t="shared" ref="B4:B37" si="0">B3+802</f>
        <v>224159</v>
      </c>
      <c r="C4">
        <f>B4-B3</f>
        <v>802</v>
      </c>
      <c r="D4">
        <v>224692.1</v>
      </c>
      <c r="E4">
        <f>D3-D4</f>
        <v>-800</v>
      </c>
      <c r="F4">
        <f>B4-D4</f>
        <v>-533.100000000006</v>
      </c>
      <c r="G4">
        <f>F4-F3</f>
        <v>2</v>
      </c>
      <c r="H4">
        <v>-512</v>
      </c>
      <c r="I4">
        <f t="shared" ref="I4:I24" si="1">I3</f>
        <v>1</v>
      </c>
      <c r="J4">
        <f t="shared" ref="J4:J24" si="2">D4+H4*I4</f>
        <v>224180.1</v>
      </c>
      <c r="K4">
        <f t="shared" ref="K4:K24" si="3">B4-J4</f>
        <v>-21.1000000000058</v>
      </c>
      <c r="L4">
        <f>K4-K3</f>
        <v>770</v>
      </c>
      <c r="M4">
        <f t="shared" ref="M4:M24" si="4">J4-J3</f>
        <v>32</v>
      </c>
    </row>
    <row r="5" spans="1:13">
      <c r="B5">
        <f t="shared" si="0"/>
        <v>224961</v>
      </c>
      <c r="C5">
        <f t="shared" ref="C5:C37" si="5">B5-B4</f>
        <v>802</v>
      </c>
      <c r="D5">
        <v>225516.1</v>
      </c>
      <c r="E5">
        <f t="shared" ref="E5:E11" si="6">D4-D5</f>
        <v>-824</v>
      </c>
      <c r="F5">
        <f t="shared" ref="F5:F38" si="7">B5-D5</f>
        <v>-555.100000000006</v>
      </c>
      <c r="G5">
        <f t="shared" ref="G5:G37" si="8">F5-F4</f>
        <v>-22</v>
      </c>
      <c r="H5">
        <v>768</v>
      </c>
      <c r="I5">
        <f t="shared" si="1"/>
        <v>1</v>
      </c>
      <c r="J5">
        <f t="shared" si="2"/>
        <v>226284.1</v>
      </c>
      <c r="K5">
        <f t="shared" si="3"/>
        <v>-1323.10000000001</v>
      </c>
      <c r="L5">
        <f t="shared" ref="L5:L24" si="9">K5-K4</f>
        <v>-1302</v>
      </c>
      <c r="M5">
        <f t="shared" si="4"/>
        <v>2104</v>
      </c>
    </row>
    <row r="6" spans="1:13">
      <c r="B6">
        <f t="shared" si="0"/>
        <v>225763</v>
      </c>
      <c r="C6">
        <f t="shared" si="5"/>
        <v>802</v>
      </c>
      <c r="D6">
        <v>226292.1</v>
      </c>
      <c r="E6">
        <f t="shared" si="6"/>
        <v>-776</v>
      </c>
      <c r="F6">
        <f t="shared" si="7"/>
        <v>-529.100000000006</v>
      </c>
      <c r="G6">
        <f t="shared" si="8"/>
        <v>26</v>
      </c>
      <c r="H6">
        <v>-1024</v>
      </c>
      <c r="I6">
        <f t="shared" si="1"/>
        <v>1</v>
      </c>
      <c r="J6">
        <f t="shared" si="2"/>
        <v>225268.1</v>
      </c>
      <c r="K6">
        <f t="shared" si="3"/>
        <v>494.899999999994</v>
      </c>
      <c r="L6">
        <f t="shared" si="9"/>
        <v>1818</v>
      </c>
      <c r="M6">
        <f t="shared" si="4"/>
        <v>-1016</v>
      </c>
    </row>
    <row r="7" spans="1:13">
      <c r="B7">
        <f t="shared" si="0"/>
        <v>226565</v>
      </c>
      <c r="C7">
        <f t="shared" si="5"/>
        <v>802</v>
      </c>
      <c r="D7">
        <v>227108.1</v>
      </c>
      <c r="E7">
        <f t="shared" si="6"/>
        <v>-816</v>
      </c>
      <c r="F7">
        <f t="shared" si="7"/>
        <v>-543.100000000006</v>
      </c>
      <c r="G7">
        <f t="shared" si="8"/>
        <v>-14</v>
      </c>
      <c r="H7">
        <v>1280</v>
      </c>
      <c r="I7">
        <f t="shared" si="1"/>
        <v>1</v>
      </c>
      <c r="J7">
        <f t="shared" si="2"/>
        <v>228388.1</v>
      </c>
      <c r="K7">
        <f t="shared" si="3"/>
        <v>-1823.10000000001</v>
      </c>
      <c r="L7">
        <f t="shared" si="9"/>
        <v>-2318</v>
      </c>
      <c r="M7">
        <f t="shared" si="4"/>
        <v>3120</v>
      </c>
    </row>
    <row r="8" spans="1:13">
      <c r="B8">
        <f t="shared" si="0"/>
        <v>227367</v>
      </c>
      <c r="C8">
        <f t="shared" si="5"/>
        <v>802</v>
      </c>
      <c r="D8">
        <v>227900.1</v>
      </c>
      <c r="E8">
        <f t="shared" si="6"/>
        <v>-792</v>
      </c>
      <c r="F8">
        <f t="shared" si="7"/>
        <v>-533.100000000006</v>
      </c>
      <c r="G8">
        <f t="shared" si="8"/>
        <v>10</v>
      </c>
      <c r="H8">
        <v>-1536</v>
      </c>
      <c r="I8">
        <f t="shared" si="1"/>
        <v>1</v>
      </c>
      <c r="J8">
        <f t="shared" si="2"/>
        <v>226364.1</v>
      </c>
      <c r="K8">
        <f t="shared" si="3"/>
        <v>1002.89999999999</v>
      </c>
      <c r="L8">
        <f t="shared" si="9"/>
        <v>2826</v>
      </c>
      <c r="M8">
        <f t="shared" si="4"/>
        <v>-2024</v>
      </c>
    </row>
    <row r="9" spans="1:13">
      <c r="B9">
        <f t="shared" si="0"/>
        <v>228169</v>
      </c>
      <c r="C9">
        <f t="shared" si="5"/>
        <v>802</v>
      </c>
      <c r="D9">
        <v>228724.1</v>
      </c>
      <c r="E9">
        <f t="shared" si="6"/>
        <v>-824</v>
      </c>
      <c r="F9">
        <f t="shared" si="7"/>
        <v>-555.100000000006</v>
      </c>
      <c r="G9">
        <f t="shared" si="8"/>
        <v>-22</v>
      </c>
      <c r="H9">
        <v>768</v>
      </c>
      <c r="I9">
        <f t="shared" si="1"/>
        <v>1</v>
      </c>
      <c r="J9">
        <f t="shared" si="2"/>
        <v>229492.1</v>
      </c>
      <c r="K9">
        <f t="shared" si="3"/>
        <v>-1323.10000000001</v>
      </c>
      <c r="L9">
        <f t="shared" si="9"/>
        <v>-2326</v>
      </c>
      <c r="M9">
        <f t="shared" si="4"/>
        <v>3128</v>
      </c>
    </row>
    <row r="10" spans="1:13">
      <c r="B10">
        <f t="shared" si="0"/>
        <v>228971</v>
      </c>
      <c r="C10">
        <f t="shared" si="5"/>
        <v>802</v>
      </c>
      <c r="D10">
        <v>229500.1</v>
      </c>
      <c r="E10">
        <f t="shared" si="6"/>
        <v>-776</v>
      </c>
      <c r="F10">
        <f t="shared" si="7"/>
        <v>-529.100000000006</v>
      </c>
      <c r="G10">
        <f t="shared" si="8"/>
        <v>26</v>
      </c>
      <c r="H10">
        <v>0</v>
      </c>
      <c r="I10">
        <f t="shared" si="1"/>
        <v>1</v>
      </c>
      <c r="J10">
        <f t="shared" si="2"/>
        <v>229500.1</v>
      </c>
      <c r="K10">
        <f t="shared" si="3"/>
        <v>-529.100000000006</v>
      </c>
      <c r="L10">
        <f t="shared" si="9"/>
        <v>794</v>
      </c>
      <c r="M10">
        <f t="shared" si="4"/>
        <v>8</v>
      </c>
    </row>
    <row r="11" spans="1:13">
      <c r="B11">
        <f t="shared" si="0"/>
        <v>229773</v>
      </c>
      <c r="C11">
        <f t="shared" si="5"/>
        <v>802</v>
      </c>
      <c r="D11">
        <v>230308.1</v>
      </c>
      <c r="E11">
        <f t="shared" si="6"/>
        <v>-808</v>
      </c>
      <c r="F11">
        <f t="shared" si="7"/>
        <v>-535.100000000006</v>
      </c>
      <c r="G11">
        <f t="shared" si="8"/>
        <v>-6</v>
      </c>
      <c r="H11">
        <v>256</v>
      </c>
      <c r="I11">
        <f t="shared" si="1"/>
        <v>1</v>
      </c>
      <c r="J11">
        <f t="shared" si="2"/>
        <v>230564.1</v>
      </c>
      <c r="K11">
        <f t="shared" si="3"/>
        <v>-791.100000000006</v>
      </c>
      <c r="L11">
        <f t="shared" si="9"/>
        <v>-262</v>
      </c>
      <c r="M11">
        <f t="shared" si="4"/>
        <v>1064</v>
      </c>
    </row>
    <row r="12" spans="1:13">
      <c r="B12">
        <f t="shared" si="0"/>
        <v>230575</v>
      </c>
      <c r="C12">
        <f t="shared" si="5"/>
        <v>802</v>
      </c>
      <c r="D12">
        <v>231108.1</v>
      </c>
      <c r="E12">
        <f>D11-D12</f>
        <v>-800</v>
      </c>
      <c r="F12">
        <f t="shared" si="7"/>
        <v>-533.100000000006</v>
      </c>
      <c r="G12">
        <f t="shared" si="8"/>
        <v>2</v>
      </c>
      <c r="H12">
        <v>-512</v>
      </c>
      <c r="I12">
        <f t="shared" si="1"/>
        <v>1</v>
      </c>
      <c r="J12">
        <f t="shared" si="2"/>
        <v>230596.1</v>
      </c>
      <c r="K12">
        <f t="shared" si="3"/>
        <v>-21.1000000000058</v>
      </c>
      <c r="L12">
        <f t="shared" si="9"/>
        <v>770</v>
      </c>
      <c r="M12">
        <f t="shared" si="4"/>
        <v>32</v>
      </c>
    </row>
    <row r="13" spans="1:13">
      <c r="B13">
        <f t="shared" si="0"/>
        <v>231377</v>
      </c>
      <c r="C13">
        <f t="shared" si="5"/>
        <v>802</v>
      </c>
      <c r="D13">
        <v>231932.1</v>
      </c>
      <c r="E13">
        <f>D12-D13</f>
        <v>-824</v>
      </c>
      <c r="F13">
        <f t="shared" si="7"/>
        <v>-555.100000000006</v>
      </c>
      <c r="G13">
        <f t="shared" si="8"/>
        <v>-22</v>
      </c>
      <c r="H13">
        <v>768</v>
      </c>
      <c r="I13">
        <f t="shared" si="1"/>
        <v>1</v>
      </c>
      <c r="J13">
        <f t="shared" si="2"/>
        <v>232700.1</v>
      </c>
      <c r="K13">
        <f t="shared" si="3"/>
        <v>-1323.10000000001</v>
      </c>
      <c r="L13">
        <f t="shared" si="9"/>
        <v>-1302</v>
      </c>
      <c r="M13">
        <f t="shared" si="4"/>
        <v>2104</v>
      </c>
    </row>
    <row r="14" spans="1:13">
      <c r="B14">
        <f t="shared" si="0"/>
        <v>232179</v>
      </c>
      <c r="C14">
        <f t="shared" si="5"/>
        <v>802</v>
      </c>
      <c r="D14">
        <v>232708.1</v>
      </c>
      <c r="E14">
        <f>D13-D14</f>
        <v>-776</v>
      </c>
      <c r="F14">
        <f t="shared" si="7"/>
        <v>-529.100000000006</v>
      </c>
      <c r="G14">
        <f t="shared" si="8"/>
        <v>26</v>
      </c>
      <c r="H14">
        <v>-1024</v>
      </c>
      <c r="I14">
        <f t="shared" si="1"/>
        <v>1</v>
      </c>
      <c r="J14">
        <f t="shared" si="2"/>
        <v>231684.1</v>
      </c>
      <c r="K14">
        <f t="shared" si="3"/>
        <v>494.899999999994</v>
      </c>
      <c r="L14">
        <f t="shared" si="9"/>
        <v>1818</v>
      </c>
      <c r="M14">
        <f t="shared" si="4"/>
        <v>-1016</v>
      </c>
    </row>
    <row r="15" spans="1:13">
      <c r="B15">
        <f t="shared" si="0"/>
        <v>232981</v>
      </c>
      <c r="C15">
        <f t="shared" si="5"/>
        <v>802</v>
      </c>
      <c r="D15">
        <v>233524.1</v>
      </c>
      <c r="E15">
        <f>D14-D15</f>
        <v>-816</v>
      </c>
      <c r="F15">
        <f t="shared" si="7"/>
        <v>-543.100000000006</v>
      </c>
      <c r="G15">
        <f t="shared" si="8"/>
        <v>-14</v>
      </c>
      <c r="H15">
        <v>1280</v>
      </c>
      <c r="I15">
        <f t="shared" si="1"/>
        <v>1</v>
      </c>
      <c r="J15">
        <f t="shared" si="2"/>
        <v>234804.1</v>
      </c>
      <c r="K15">
        <f t="shared" si="3"/>
        <v>-1823.10000000001</v>
      </c>
      <c r="L15">
        <f t="shared" si="9"/>
        <v>-2318</v>
      </c>
      <c r="M15">
        <f t="shared" si="4"/>
        <v>3120</v>
      </c>
    </row>
    <row r="16" spans="1:13">
      <c r="B16">
        <f t="shared" si="0"/>
        <v>233783</v>
      </c>
      <c r="C16">
        <f t="shared" si="5"/>
        <v>802</v>
      </c>
      <c r="D16">
        <v>234316.1</v>
      </c>
      <c r="E16">
        <f>D15-D16</f>
        <v>-792</v>
      </c>
      <c r="F16">
        <f t="shared" si="7"/>
        <v>-533.100000000006</v>
      </c>
      <c r="G16">
        <f t="shared" si="8"/>
        <v>10</v>
      </c>
      <c r="H16">
        <v>-1536</v>
      </c>
      <c r="I16">
        <f t="shared" si="1"/>
        <v>1</v>
      </c>
      <c r="J16">
        <f t="shared" si="2"/>
        <v>232780.1</v>
      </c>
      <c r="K16">
        <f t="shared" si="3"/>
        <v>1002.89999999999</v>
      </c>
      <c r="L16">
        <f t="shared" si="9"/>
        <v>2826</v>
      </c>
      <c r="M16">
        <f t="shared" si="4"/>
        <v>-2024</v>
      </c>
    </row>
    <row r="17" spans="1:13">
      <c r="B17">
        <f t="shared" si="0"/>
        <v>234585</v>
      </c>
      <c r="C17">
        <f t="shared" si="5"/>
        <v>802</v>
      </c>
      <c r="D17">
        <v>235140.1</v>
      </c>
      <c r="E17">
        <f>D16-D17</f>
        <v>-824</v>
      </c>
      <c r="F17">
        <f t="shared" si="7"/>
        <v>-555.100000000006</v>
      </c>
      <c r="G17">
        <f t="shared" si="8"/>
        <v>-22</v>
      </c>
      <c r="H17">
        <v>768</v>
      </c>
      <c r="I17">
        <f t="shared" si="1"/>
        <v>1</v>
      </c>
      <c r="J17">
        <f t="shared" si="2"/>
        <v>235908.1</v>
      </c>
      <c r="K17">
        <f t="shared" si="3"/>
        <v>-1323.10000000001</v>
      </c>
      <c r="L17">
        <f t="shared" si="9"/>
        <v>-2326</v>
      </c>
      <c r="M17">
        <f t="shared" si="4"/>
        <v>3128</v>
      </c>
    </row>
    <row r="18" spans="1:13">
      <c r="B18">
        <f t="shared" si="0"/>
        <v>235387</v>
      </c>
      <c r="C18">
        <f t="shared" si="5"/>
        <v>802</v>
      </c>
      <c r="D18">
        <v>235916.1</v>
      </c>
      <c r="E18">
        <f>D17-D18</f>
        <v>-776</v>
      </c>
      <c r="F18">
        <f t="shared" si="7"/>
        <v>-529.100000000006</v>
      </c>
      <c r="G18">
        <f t="shared" si="8"/>
        <v>26</v>
      </c>
      <c r="H18">
        <v>0</v>
      </c>
      <c r="I18">
        <f t="shared" si="1"/>
        <v>1</v>
      </c>
      <c r="J18">
        <f t="shared" si="2"/>
        <v>235916.1</v>
      </c>
      <c r="K18">
        <f t="shared" si="3"/>
        <v>-529.100000000006</v>
      </c>
      <c r="L18">
        <f t="shared" si="9"/>
        <v>794</v>
      </c>
      <c r="M18">
        <f t="shared" si="4"/>
        <v>8</v>
      </c>
    </row>
    <row r="19" spans="1:13">
      <c r="B19">
        <f t="shared" si="0"/>
        <v>236189</v>
      </c>
      <c r="C19">
        <f t="shared" si="5"/>
        <v>802</v>
      </c>
      <c r="D19">
        <v>236724.1</v>
      </c>
      <c r="E19">
        <f>D18-D19</f>
        <v>-808</v>
      </c>
      <c r="F19">
        <f t="shared" si="7"/>
        <v>-535.100000000006</v>
      </c>
      <c r="G19">
        <f t="shared" si="8"/>
        <v>-6</v>
      </c>
      <c r="H19">
        <v>256</v>
      </c>
      <c r="I19">
        <f t="shared" si="1"/>
        <v>1</v>
      </c>
      <c r="J19">
        <f t="shared" si="2"/>
        <v>236980.1</v>
      </c>
      <c r="K19">
        <f t="shared" si="3"/>
        <v>-791.100000000006</v>
      </c>
      <c r="L19">
        <f t="shared" si="9"/>
        <v>-262</v>
      </c>
      <c r="M19">
        <f t="shared" si="4"/>
        <v>1064</v>
      </c>
    </row>
    <row r="20" spans="1:13">
      <c r="B20">
        <f t="shared" si="0"/>
        <v>236991</v>
      </c>
      <c r="C20">
        <f t="shared" si="5"/>
        <v>802</v>
      </c>
      <c r="D20">
        <v>237524.1</v>
      </c>
      <c r="E20">
        <f>D19-D20</f>
        <v>-800</v>
      </c>
      <c r="F20">
        <f t="shared" si="7"/>
        <v>-533.100000000006</v>
      </c>
      <c r="G20">
        <f t="shared" si="8"/>
        <v>2</v>
      </c>
      <c r="H20">
        <v>-512</v>
      </c>
      <c r="I20">
        <f t="shared" si="1"/>
        <v>1</v>
      </c>
      <c r="J20">
        <f t="shared" si="2"/>
        <v>237012.1</v>
      </c>
      <c r="K20">
        <f t="shared" si="3"/>
        <v>-21.1000000000058</v>
      </c>
      <c r="L20">
        <f t="shared" si="9"/>
        <v>770</v>
      </c>
      <c r="M20">
        <f t="shared" si="4"/>
        <v>32</v>
      </c>
    </row>
    <row r="21" spans="1:13">
      <c r="B21">
        <f t="shared" si="0"/>
        <v>237793</v>
      </c>
      <c r="C21">
        <f t="shared" si="5"/>
        <v>802</v>
      </c>
      <c r="D21">
        <v>238348.1</v>
      </c>
      <c r="E21">
        <f>D20-D21</f>
        <v>-824</v>
      </c>
      <c r="F21">
        <f t="shared" si="7"/>
        <v>-555.100000000006</v>
      </c>
      <c r="G21">
        <f t="shared" si="8"/>
        <v>-22</v>
      </c>
      <c r="H21">
        <v>768</v>
      </c>
      <c r="I21">
        <f t="shared" si="1"/>
        <v>1</v>
      </c>
      <c r="J21">
        <f t="shared" si="2"/>
        <v>239116.1</v>
      </c>
      <c r="K21">
        <f t="shared" si="3"/>
        <v>-1323.10000000001</v>
      </c>
      <c r="L21">
        <f t="shared" si="9"/>
        <v>-1302</v>
      </c>
      <c r="M21">
        <f t="shared" si="4"/>
        <v>2104</v>
      </c>
    </row>
    <row r="22" spans="1:13">
      <c r="B22">
        <f t="shared" si="0"/>
        <v>238595</v>
      </c>
      <c r="C22">
        <f t="shared" si="5"/>
        <v>802</v>
      </c>
      <c r="D22">
        <v>239124.1</v>
      </c>
      <c r="E22">
        <f>D21-D22</f>
        <v>-776</v>
      </c>
      <c r="F22">
        <f t="shared" si="7"/>
        <v>-529.100000000006</v>
      </c>
      <c r="G22">
        <f t="shared" si="8"/>
        <v>26</v>
      </c>
      <c r="H22">
        <v>-1024</v>
      </c>
      <c r="I22">
        <f t="shared" si="1"/>
        <v>1</v>
      </c>
      <c r="J22">
        <f t="shared" si="2"/>
        <v>238100.1</v>
      </c>
      <c r="K22">
        <f t="shared" si="3"/>
        <v>494.899999999994</v>
      </c>
      <c r="L22">
        <f t="shared" si="9"/>
        <v>1818</v>
      </c>
      <c r="M22">
        <f t="shared" si="4"/>
        <v>-1016</v>
      </c>
    </row>
    <row r="23" spans="1:13">
      <c r="B23">
        <f t="shared" si="0"/>
        <v>239397</v>
      </c>
      <c r="C23">
        <f t="shared" si="5"/>
        <v>802</v>
      </c>
      <c r="D23">
        <v>239940.1</v>
      </c>
      <c r="E23">
        <f>D22-D23</f>
        <v>-816</v>
      </c>
      <c r="F23">
        <f t="shared" si="7"/>
        <v>-543.100000000006</v>
      </c>
      <c r="G23">
        <f t="shared" si="8"/>
        <v>-14</v>
      </c>
      <c r="H23">
        <v>1280</v>
      </c>
      <c r="I23">
        <f t="shared" si="1"/>
        <v>1</v>
      </c>
      <c r="J23">
        <f t="shared" si="2"/>
        <v>241220.1</v>
      </c>
      <c r="K23">
        <f t="shared" si="3"/>
        <v>-1823.10000000001</v>
      </c>
      <c r="L23">
        <f t="shared" si="9"/>
        <v>-2318</v>
      </c>
      <c r="M23">
        <f t="shared" si="4"/>
        <v>3120</v>
      </c>
    </row>
    <row r="24" spans="1:13">
      <c r="B24">
        <f t="shared" si="0"/>
        <v>240199</v>
      </c>
      <c r="C24">
        <f t="shared" si="5"/>
        <v>802</v>
      </c>
      <c r="D24">
        <v>240732.1</v>
      </c>
      <c r="E24">
        <f>D23-D24</f>
        <v>-792</v>
      </c>
      <c r="F24">
        <f t="shared" si="7"/>
        <v>-533.100000000006</v>
      </c>
      <c r="G24">
        <f t="shared" si="8"/>
        <v>10</v>
      </c>
      <c r="H24">
        <v>-1536</v>
      </c>
      <c r="I24">
        <f t="shared" si="1"/>
        <v>1</v>
      </c>
      <c r="J24">
        <f t="shared" si="2"/>
        <v>239196.1</v>
      </c>
      <c r="K24">
        <f t="shared" si="3"/>
        <v>1002.89999999999</v>
      </c>
      <c r="L24">
        <f t="shared" si="9"/>
        <v>2826</v>
      </c>
      <c r="M24">
        <f t="shared" si="4"/>
        <v>-2024</v>
      </c>
    </row>
    <row r="25" spans="1:13">
      <c r="A25" t="s">
        <v>11</v>
      </c>
      <c r="B25">
        <f>SUM(B3:B24)/COUNT(B3:B24)</f>
        <v>231778</v>
      </c>
      <c r="C25">
        <f>SUM(C3:C24)/COUNT(C3:C24)</f>
        <v>802</v>
      </c>
      <c r="D25">
        <f>SUM(D3:D24)/COUNT(D3:D24)</f>
        <v>232316.827272727</v>
      </c>
      <c r="E25">
        <f>SUM(E3:E24)/COUNT(E3:E24)</f>
        <v>-802.181818181818</v>
      </c>
      <c r="F25">
        <f>SUM(F3:F24)/COUNT(F3:F24)</f>
        <v>-538.827272727279</v>
      </c>
      <c r="G25">
        <f>SUM(G3:G24)/COUNT(G3:G24)</f>
        <v>-0.181818181818182</v>
      </c>
      <c r="H25">
        <f>SUM(H3:H24)/COUNT(H3:H24)</f>
        <v>-34.9090909090909</v>
      </c>
      <c r="I25">
        <f>SUM(I3:I24)/COUNT(I3:I24)</f>
        <v>1</v>
      </c>
      <c r="J25">
        <f>SUM(J3:J24)/COUNT(J3:J24)</f>
        <v>232281.918181818</v>
      </c>
      <c r="K25">
        <f>SUM(K3:K24)/COUNT(K3:K24)</f>
        <v>-503.918181818188</v>
      </c>
      <c r="L25">
        <f>SUM(L3:L24)/COUNT(L3:L24)</f>
        <v>69.6363636363636</v>
      </c>
      <c r="M25">
        <f>SUM(M3:M24)/COUNT(M3:M24)</f>
        <v>732.363636363636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高高高高高高高高高高高高高高高高</cp:lastModifiedBy>
  <dcterms:created xsi:type="dcterms:W3CDTF">2023-05-12T11:15:00Z</dcterms:created>
  <dcterms:modified xsi:type="dcterms:W3CDTF">2026-07-24T02:49:08Z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287E116D0B314D0D8C4B35E57D7A9F39_12</vt:lpwstr>
  </property>
  <property fmtid="{D5CDD505-2E9C-101B-9397-08002B2CF9AE}" pid="4" name="CalculationRule">
    <vt:i4>0</vt:i4>
  </property>
</Properties>
</file>