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<sst xmlns="http://schemas.openxmlformats.org/spreadsheetml/2006/main" count="45" uniqueCount="22">
  <si>
    <t xml:space="preserve">dtc </t>
  </si>
  <si>
    <t>ideal time</t>
  </si>
  <si>
    <t>dtime</t>
  </si>
  <si>
    <t>actual time</t>
  </si>
  <si>
    <t>jitter</t>
  </si>
  <si>
    <t>real div</t>
  </si>
  <si>
    <t>ideal-actual</t>
  </si>
  <si>
    <t>ddtime</t>
  </si>
  <si>
    <t>mash eo</t>
  </si>
  <si>
    <t>d eo</t>
  </si>
  <si>
    <t>dtc gain</t>
  </si>
  <si>
    <t>dtc code</t>
  </si>
  <si>
    <t>s dtc code 1</t>
  </si>
  <si>
    <t>s dtc code 2</t>
  </si>
  <si>
    <t>dtc2time gain</t>
  </si>
  <si>
    <t>dtc time</t>
  </si>
  <si>
    <t>ideal-dtc</t>
  </si>
  <si>
    <t>d dtc time</t>
  </si>
  <si>
    <t>AVG</t>
  </si>
  <si>
    <t>mash1</t>
  </si>
  <si>
    <t>mash11</t>
  </si>
  <si>
    <t>mash111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</si>
</sst>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Alignment="1">
      <alignment vertical="center"/>
    </xf>
    <xf numFmtId="176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3"/>
  <sheetViews>
    <sheetView workbookViewId="0">
      <selection activeCell="Q2" sqref="Q2"/>
    </sheetView>
  </sheetViews>
  <sheetFormatPr defaultColWidth="9" defaultRowHeight="13.5"/>
  <cols>
    <col min="1" max="1" width="5.375" customWidth="1"/>
    <col min="2" max="2" width="11.5" customWidth="1"/>
    <col min="3" max="3" width="6.375" customWidth="1"/>
    <col min="4" max="4" width="12.625" customWidth="1"/>
    <col min="5" max="5" width="6.375" customWidth="1"/>
    <col min="6" max="7" width="9.375" customWidth="1"/>
    <col min="8" max="8" width="13.75" customWidth="1"/>
    <col min="9" max="9" width="7.375" customWidth="1"/>
    <col min="10" max="10" width="8.375" customWidth="1"/>
    <col min="11" max="11" width="6.375" customWidth="1"/>
    <col min="12" max="13" width="9.375" customWidth="1"/>
    <col min="14" max="16" width="14.875" customWidth="1"/>
    <col min="17" max="18" width="10.375" customWidth="1"/>
    <col min="19" max="19" width="6.375" customWidth="1"/>
    <col min="20" max="20" width="11.5" customWidth="1"/>
    <col min="21" max="21" width="7.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</v>
      </c>
      <c r="T1" t="s">
        <v>17</v>
      </c>
      <c r="U1" t="s">
        <v>4</v>
      </c>
    </row>
    <row r="2" spans="1:21">
      <c r="B2">
        <v>222555</v>
      </c>
      <c r="D2">
        <v>223084.1</v>
      </c>
      <c r="H2">
        <f>B2-D2</f>
        <v>-529.100000000006</v>
      </c>
      <c r="J2">
        <f>H26</f>
        <v>768</v>
      </c>
      <c r="L2" s="5">
        <v>0.46875</v>
      </c>
      <c r="M2">
        <f>(J2/4)*L2+256</f>
        <v>346</v>
      </c>
      <c r="N2">
        <f>M2</f>
        <v>346</v>
      </c>
      <c r="O2">
        <f>N2</f>
        <v>346</v>
      </c>
      <c r="P2" s="5">
        <v>0.0625</v>
      </c>
      <c r="Q2">
        <f>D2+M2*P2</f>
        <v>223105.725</v>
      </c>
      <c r="R2">
        <f>B2-Q2</f>
        <v>-550.725000000006</v>
      </c>
    </row>
    <row r="3" spans="1:21">
      <c r="B3">
        <f>B2+802</f>
        <v>223357</v>
      </c>
      <c r="C3">
        <f>B3-B2</f>
        <v>802</v>
      </c>
      <c r="D3">
        <v>223892.1</v>
      </c>
      <c r="E3">
        <f>-D2+D3</f>
        <v>808</v>
      </c>
      <c r="G3">
        <f>E3/8-100</f>
        <v>1</v>
      </c>
      <c r="H3">
        <f>B3-D3</f>
        <v>-535.100000000006</v>
      </c>
      <c r="I3">
        <f>H3-H2</f>
        <v>-6</v>
      </c>
      <c r="J3">
        <f t="shared" ref="J3:J22" si="0">H27</f>
        <v>0</v>
      </c>
      <c r="K3">
        <f>J3-J2</f>
        <v>-768</v>
      </c>
      <c r="L3">
        <f t="shared" ref="L3:L22" si="1">L2</f>
        <v>0.46875</v>
      </c>
      <c r="M3">
        <f>(J3/4)*L3+256</f>
        <v>256</v>
      </c>
      <c r="N3">
        <f>IF((M3+N2)&gt;=1024,M3+N2-1024,M3+N2)</f>
        <v>602</v>
      </c>
      <c r="O3">
        <f>IF((N3+O2)&gt;=1024,N3+O2-1024,N3+O2)</f>
        <v>948</v>
      </c>
      <c r="P3">
        <f>P2</f>
        <v>0.0625</v>
      </c>
      <c r="Q3">
        <f t="shared" ref="Q3:Q22" si="2">D3+M3*P3</f>
        <v>223908.1</v>
      </c>
      <c r="R3">
        <f>B3-Q3</f>
        <v>-551.100000000006</v>
      </c>
      <c r="S3">
        <f>R3-R2</f>
        <v>-0.375</v>
      </c>
      <c r="T3">
        <f>Q3-Q2</f>
        <v>802.375</v>
      </c>
    </row>
    <row r="4" spans="1:21">
      <c r="B4">
        <f t="shared" ref="B4:B37" si="3">B3+802</f>
        <v>224159</v>
      </c>
      <c r="C4">
        <f>B4-B3</f>
        <v>802</v>
      </c>
      <c r="D4">
        <v>224692.1</v>
      </c>
      <c r="E4">
        <f t="shared" ref="E4:E24" si="4">-D3+D4</f>
        <v>800</v>
      </c>
      <c r="F4">
        <f>E4-E3</f>
        <v>-8</v>
      </c>
      <c r="G4">
        <f t="shared" ref="G4:G22" si="5">E4/8-100</f>
        <v>0</v>
      </c>
      <c r="H4">
        <f>B4-D4</f>
        <v>-533.100000000006</v>
      </c>
      <c r="I4">
        <f>H4-H3</f>
        <v>2</v>
      </c>
      <c r="J4">
        <f t="shared" si="0"/>
        <v>256</v>
      </c>
      <c r="K4">
        <f t="shared" ref="K4:K24" si="6">J4-J3</f>
        <v>256</v>
      </c>
      <c r="L4">
        <f t="shared" si="1"/>
        <v>0.46875</v>
      </c>
      <c r="M4">
        <f t="shared" ref="M3:M22" si="7">(J4/4)*L4+256</f>
        <v>286</v>
      </c>
      <c r="N4">
        <f t="shared" ref="N4:N22" si="8">IF((M4+N3)&gt;=1024,M4+N3-1024,M4+N3)</f>
        <v>888</v>
      </c>
      <c r="O4">
        <f t="shared" ref="O4:O22" si="9">IF((N4+O3)&gt;=1024,N4+O3-1024,N4+O3)</f>
        <v>812</v>
      </c>
      <c r="P4">
        <f t="shared" ref="P4:P24" si="10">P3</f>
        <v>0.0625</v>
      </c>
      <c r="Q4">
        <f t="shared" si="2"/>
        <v>224709.975</v>
      </c>
      <c r="R4">
        <f t="shared" ref="R4:R24" si="11">B4-Q4</f>
        <v>-550.975000000006</v>
      </c>
      <c r="S4">
        <f>R4-R3</f>
        <v>0.125</v>
      </c>
      <c r="T4">
        <f t="shared" ref="T4:T24" si="12">Q4-Q3</f>
        <v>801.875</v>
      </c>
      <c r="U4">
        <f>T4-T3</f>
        <v>-0.5</v>
      </c>
    </row>
    <row r="5" spans="1:21">
      <c r="B5">
        <f t="shared" si="3"/>
        <v>224961</v>
      </c>
      <c r="C5">
        <f t="shared" ref="C5:C37" si="13">B5-B4</f>
        <v>802</v>
      </c>
      <c r="D5">
        <v>225516.1</v>
      </c>
      <c r="E5">
        <f t="shared" si="4"/>
        <v>824</v>
      </c>
      <c r="F5">
        <f t="shared" ref="F5:F22" si="14">E5-E4</f>
        <v>24</v>
      </c>
      <c r="G5">
        <f t="shared" si="5"/>
        <v>3</v>
      </c>
      <c r="H5">
        <f t="shared" ref="H5:H38" si="15">B5-D5</f>
        <v>-555.100000000006</v>
      </c>
      <c r="I5">
        <f t="shared" ref="I5:I37" si="16">H5-H4</f>
        <v>-22</v>
      </c>
      <c r="J5">
        <f t="shared" si="0"/>
        <v>-512</v>
      </c>
      <c r="K5">
        <f t="shared" si="6"/>
        <v>-768</v>
      </c>
      <c r="L5">
        <f t="shared" si="1"/>
        <v>0.46875</v>
      </c>
      <c r="M5">
        <f t="shared" si="7"/>
        <v>196</v>
      </c>
      <c r="N5">
        <f t="shared" si="8"/>
        <v>60</v>
      </c>
      <c r="O5">
        <f t="shared" si="9"/>
        <v>872</v>
      </c>
      <c r="P5">
        <f t="shared" si="10"/>
        <v>0.0625</v>
      </c>
      <c r="Q5">
        <f t="shared" si="2"/>
        <v>225528.35</v>
      </c>
      <c r="R5">
        <f t="shared" si="11"/>
        <v>-567.350000000006</v>
      </c>
      <c r="S5">
        <f t="shared" ref="S5:S24" si="17">R5-R4</f>
        <v>-16.375</v>
      </c>
      <c r="T5">
        <f t="shared" si="12"/>
        <v>818.375</v>
      </c>
      <c r="U5">
        <f t="shared" ref="U5:U23" si="18">T5-T4</f>
        <v>16.5</v>
      </c>
    </row>
    <row r="6" spans="1:21">
      <c r="B6">
        <f t="shared" si="3"/>
        <v>225763</v>
      </c>
      <c r="C6">
        <f t="shared" si="13"/>
        <v>802</v>
      </c>
      <c r="D6">
        <v>226292.1</v>
      </c>
      <c r="E6">
        <f t="shared" si="4"/>
        <v>776</v>
      </c>
      <c r="F6">
        <f t="shared" si="14"/>
        <v>-48</v>
      </c>
      <c r="G6">
        <f t="shared" si="5"/>
        <v>-3</v>
      </c>
      <c r="H6">
        <f t="shared" si="15"/>
        <v>-529.100000000006</v>
      </c>
      <c r="I6">
        <f t="shared" si="16"/>
        <v>26</v>
      </c>
      <c r="J6">
        <f t="shared" si="0"/>
        <v>768</v>
      </c>
      <c r="K6">
        <f t="shared" si="6"/>
        <v>1280</v>
      </c>
      <c r="L6">
        <f t="shared" si="1"/>
        <v>0.46875</v>
      </c>
      <c r="M6">
        <f t="shared" si="7"/>
        <v>346</v>
      </c>
      <c r="N6">
        <f t="shared" si="8"/>
        <v>406</v>
      </c>
      <c r="O6">
        <f t="shared" si="9"/>
        <v>254</v>
      </c>
      <c r="P6">
        <f t="shared" si="10"/>
        <v>0.0625</v>
      </c>
      <c r="Q6">
        <f t="shared" si="2"/>
        <v>226313.725</v>
      </c>
      <c r="R6">
        <f t="shared" si="11"/>
        <v>-550.725000000006</v>
      </c>
      <c r="S6">
        <f t="shared" si="17"/>
        <v>16.625</v>
      </c>
      <c r="T6">
        <f t="shared" si="12"/>
        <v>785.375</v>
      </c>
      <c r="U6">
        <f t="shared" si="18"/>
        <v>-33</v>
      </c>
    </row>
    <row r="7" spans="1:21">
      <c r="B7">
        <f t="shared" si="3"/>
        <v>226565</v>
      </c>
      <c r="C7">
        <f t="shared" si="13"/>
        <v>802</v>
      </c>
      <c r="D7">
        <v>227108.1</v>
      </c>
      <c r="E7">
        <f t="shared" si="4"/>
        <v>816</v>
      </c>
      <c r="F7">
        <f t="shared" si="14"/>
        <v>40</v>
      </c>
      <c r="G7">
        <f t="shared" si="5"/>
        <v>2</v>
      </c>
      <c r="H7">
        <f t="shared" si="15"/>
        <v>-543.100000000006</v>
      </c>
      <c r="I7">
        <f t="shared" si="16"/>
        <v>-14</v>
      </c>
      <c r="J7">
        <f t="shared" si="0"/>
        <v>-1024</v>
      </c>
      <c r="K7">
        <f t="shared" si="6"/>
        <v>-1792</v>
      </c>
      <c r="L7">
        <f t="shared" si="1"/>
        <v>0.46875</v>
      </c>
      <c r="M7">
        <f t="shared" si="7"/>
        <v>136</v>
      </c>
      <c r="N7">
        <f t="shared" si="8"/>
        <v>542</v>
      </c>
      <c r="O7">
        <f t="shared" si="9"/>
        <v>796</v>
      </c>
      <c r="P7">
        <f t="shared" si="10"/>
        <v>0.0625</v>
      </c>
      <c r="Q7">
        <f t="shared" si="2"/>
        <v>227116.6</v>
      </c>
      <c r="R7">
        <f t="shared" si="11"/>
        <v>-551.600000000006</v>
      </c>
      <c r="S7">
        <f t="shared" si="17"/>
        <v>-0.875</v>
      </c>
      <c r="T7">
        <f t="shared" si="12"/>
        <v>802.875</v>
      </c>
      <c r="U7">
        <f t="shared" si="18"/>
        <v>17.5</v>
      </c>
    </row>
    <row r="8" spans="1:21">
      <c r="B8">
        <f t="shared" si="3"/>
        <v>227367</v>
      </c>
      <c r="C8">
        <f t="shared" si="13"/>
        <v>802</v>
      </c>
      <c r="D8">
        <v>227900.1</v>
      </c>
      <c r="E8">
        <f t="shared" si="4"/>
        <v>792</v>
      </c>
      <c r="F8">
        <f t="shared" si="14"/>
        <v>-24</v>
      </c>
      <c r="G8">
        <f t="shared" si="5"/>
        <v>-1</v>
      </c>
      <c r="H8">
        <f t="shared" si="15"/>
        <v>-533.100000000006</v>
      </c>
      <c r="I8">
        <f t="shared" si="16"/>
        <v>10</v>
      </c>
      <c r="J8">
        <f t="shared" si="0"/>
        <v>1280</v>
      </c>
      <c r="K8">
        <f t="shared" si="6"/>
        <v>2304</v>
      </c>
      <c r="L8">
        <f t="shared" si="1"/>
        <v>0.46875</v>
      </c>
      <c r="M8">
        <f t="shared" si="7"/>
        <v>406</v>
      </c>
      <c r="N8">
        <f t="shared" si="8"/>
        <v>948</v>
      </c>
      <c r="O8">
        <f t="shared" si="9"/>
        <v>720</v>
      </c>
      <c r="P8">
        <f t="shared" si="10"/>
        <v>0.0625</v>
      </c>
      <c r="Q8">
        <f t="shared" si="2"/>
        <v>227925.475</v>
      </c>
      <c r="R8">
        <f t="shared" si="11"/>
        <v>-558.475000000006</v>
      </c>
      <c r="S8">
        <f t="shared" si="17"/>
        <v>-6.875</v>
      </c>
      <c r="T8">
        <f t="shared" si="12"/>
        <v>808.875</v>
      </c>
      <c r="U8">
        <f t="shared" si="18"/>
        <v>6</v>
      </c>
    </row>
    <row r="9" spans="1:21">
      <c r="B9">
        <f t="shared" si="3"/>
        <v>228169</v>
      </c>
      <c r="C9">
        <f t="shared" si="13"/>
        <v>802</v>
      </c>
      <c r="D9">
        <v>228724.1</v>
      </c>
      <c r="E9">
        <f t="shared" si="4"/>
        <v>824</v>
      </c>
      <c r="F9">
        <f t="shared" si="14"/>
        <v>32</v>
      </c>
      <c r="G9">
        <f t="shared" si="5"/>
        <v>3</v>
      </c>
      <c r="H9">
        <f t="shared" si="15"/>
        <v>-555.100000000006</v>
      </c>
      <c r="I9">
        <f t="shared" si="16"/>
        <v>-22</v>
      </c>
      <c r="J9">
        <f t="shared" si="0"/>
        <v>-1536</v>
      </c>
      <c r="K9">
        <f t="shared" si="6"/>
        <v>-2816</v>
      </c>
      <c r="L9">
        <f t="shared" si="1"/>
        <v>0.46875</v>
      </c>
      <c r="M9">
        <f t="shared" si="7"/>
        <v>76</v>
      </c>
      <c r="N9">
        <f t="shared" si="8"/>
        <v>0</v>
      </c>
      <c r="O9">
        <f t="shared" si="9"/>
        <v>720</v>
      </c>
      <c r="P9">
        <f t="shared" si="10"/>
        <v>0.0625</v>
      </c>
      <c r="Q9">
        <f t="shared" si="2"/>
        <v>228728.85</v>
      </c>
      <c r="R9">
        <f t="shared" si="11"/>
        <v>-559.850000000006</v>
      </c>
      <c r="S9">
        <f t="shared" si="17"/>
        <v>-1.375</v>
      </c>
      <c r="T9">
        <f t="shared" si="12"/>
        <v>803.375</v>
      </c>
      <c r="U9">
        <f t="shared" si="18"/>
        <v>-5.5</v>
      </c>
    </row>
    <row r="10" spans="1:21">
      <c r="B10">
        <f t="shared" si="3"/>
        <v>228971</v>
      </c>
      <c r="C10">
        <f t="shared" si="13"/>
        <v>802</v>
      </c>
      <c r="D10">
        <v>229500.1</v>
      </c>
      <c r="E10">
        <f t="shared" si="4"/>
        <v>776</v>
      </c>
      <c r="F10">
        <f t="shared" si="14"/>
        <v>-48</v>
      </c>
      <c r="G10">
        <f t="shared" si="5"/>
        <v>-3</v>
      </c>
      <c r="H10">
        <f t="shared" si="15"/>
        <v>-529.100000000006</v>
      </c>
      <c r="I10">
        <f t="shared" si="16"/>
        <v>26</v>
      </c>
      <c r="J10">
        <f t="shared" si="0"/>
        <v>768</v>
      </c>
      <c r="K10">
        <f t="shared" si="6"/>
        <v>2304</v>
      </c>
      <c r="L10">
        <f t="shared" si="1"/>
        <v>0.46875</v>
      </c>
      <c r="M10">
        <f t="shared" si="7"/>
        <v>346</v>
      </c>
      <c r="N10">
        <f t="shared" si="8"/>
        <v>346</v>
      </c>
      <c r="O10">
        <f t="shared" si="9"/>
        <v>42</v>
      </c>
      <c r="P10">
        <f t="shared" si="10"/>
        <v>0.0625</v>
      </c>
      <c r="Q10">
        <f t="shared" si="2"/>
        <v>229521.725</v>
      </c>
      <c r="R10">
        <f t="shared" si="11"/>
        <v>-550.725000000006</v>
      </c>
      <c r="S10">
        <f t="shared" si="17"/>
        <v>9.125</v>
      </c>
      <c r="T10">
        <f t="shared" si="12"/>
        <v>792.875</v>
      </c>
      <c r="U10">
        <f t="shared" si="18"/>
        <v>-10.5</v>
      </c>
    </row>
    <row r="11" spans="1:21">
      <c r="B11">
        <f t="shared" si="3"/>
        <v>229773</v>
      </c>
      <c r="C11">
        <f t="shared" si="13"/>
        <v>802</v>
      </c>
      <c r="D11">
        <v>230308.1</v>
      </c>
      <c r="E11">
        <f t="shared" si="4"/>
        <v>808</v>
      </c>
      <c r="F11">
        <f t="shared" si="14"/>
        <v>32</v>
      </c>
      <c r="G11">
        <f t="shared" si="5"/>
        <v>1</v>
      </c>
      <c r="H11">
        <f t="shared" si="15"/>
        <v>-535.100000000006</v>
      </c>
      <c r="I11">
        <f t="shared" si="16"/>
        <v>-6</v>
      </c>
      <c r="J11">
        <f t="shared" si="0"/>
        <v>0</v>
      </c>
      <c r="K11">
        <f t="shared" si="6"/>
        <v>-768</v>
      </c>
      <c r="L11">
        <f t="shared" si="1"/>
        <v>0.46875</v>
      </c>
      <c r="M11">
        <f t="shared" si="7"/>
        <v>256</v>
      </c>
      <c r="N11">
        <f t="shared" si="8"/>
        <v>602</v>
      </c>
      <c r="O11">
        <f t="shared" si="9"/>
        <v>644</v>
      </c>
      <c r="P11">
        <f t="shared" si="10"/>
        <v>0.0625</v>
      </c>
      <c r="Q11">
        <f t="shared" si="2"/>
        <v>230324.1</v>
      </c>
      <c r="R11">
        <f t="shared" si="11"/>
        <v>-551.100000000006</v>
      </c>
      <c r="S11">
        <f t="shared" si="17"/>
        <v>-0.375</v>
      </c>
      <c r="T11">
        <f t="shared" si="12"/>
        <v>802.375</v>
      </c>
      <c r="U11">
        <f t="shared" si="18"/>
        <v>9.5</v>
      </c>
    </row>
    <row r="12" spans="1:21">
      <c r="B12">
        <f t="shared" si="3"/>
        <v>230575</v>
      </c>
      <c r="C12">
        <f t="shared" si="13"/>
        <v>802</v>
      </c>
      <c r="D12">
        <v>231108.1</v>
      </c>
      <c r="E12">
        <f t="shared" si="4"/>
        <v>800</v>
      </c>
      <c r="F12">
        <f t="shared" si="14"/>
        <v>-8</v>
      </c>
      <c r="G12">
        <f t="shared" si="5"/>
        <v>0</v>
      </c>
      <c r="H12">
        <f t="shared" si="15"/>
        <v>-533.100000000006</v>
      </c>
      <c r="I12">
        <f t="shared" si="16"/>
        <v>2</v>
      </c>
      <c r="J12">
        <f t="shared" si="0"/>
        <v>256</v>
      </c>
      <c r="K12">
        <f t="shared" si="6"/>
        <v>256</v>
      </c>
      <c r="L12">
        <f t="shared" si="1"/>
        <v>0.46875</v>
      </c>
      <c r="M12">
        <f t="shared" si="7"/>
        <v>286</v>
      </c>
      <c r="N12">
        <f t="shared" si="8"/>
        <v>888</v>
      </c>
      <c r="O12">
        <f t="shared" si="9"/>
        <v>508</v>
      </c>
      <c r="P12">
        <f t="shared" si="10"/>
        <v>0.0625</v>
      </c>
      <c r="Q12">
        <f t="shared" si="2"/>
        <v>231125.975</v>
      </c>
      <c r="R12">
        <f t="shared" si="11"/>
        <v>-550.975000000006</v>
      </c>
      <c r="S12">
        <f t="shared" si="17"/>
        <v>0.125</v>
      </c>
      <c r="T12">
        <f t="shared" si="12"/>
        <v>801.875</v>
      </c>
      <c r="U12">
        <f t="shared" si="18"/>
        <v>-0.5</v>
      </c>
    </row>
    <row r="13" spans="1:21">
      <c r="B13">
        <f t="shared" si="3"/>
        <v>231377</v>
      </c>
      <c r="C13">
        <f t="shared" si="13"/>
        <v>802</v>
      </c>
      <c r="D13">
        <v>231932.1</v>
      </c>
      <c r="E13">
        <f t="shared" si="4"/>
        <v>824</v>
      </c>
      <c r="F13">
        <f t="shared" si="14"/>
        <v>24</v>
      </c>
      <c r="G13">
        <f t="shared" si="5"/>
        <v>3</v>
      </c>
      <c r="H13">
        <f t="shared" si="15"/>
        <v>-555.100000000006</v>
      </c>
      <c r="I13">
        <f t="shared" si="16"/>
        <v>-22</v>
      </c>
      <c r="J13">
        <f t="shared" si="0"/>
        <v>-512</v>
      </c>
      <c r="K13">
        <f t="shared" si="6"/>
        <v>-768</v>
      </c>
      <c r="L13">
        <f t="shared" si="1"/>
        <v>0.46875</v>
      </c>
      <c r="M13">
        <f t="shared" si="7"/>
        <v>196</v>
      </c>
      <c r="N13">
        <f t="shared" si="8"/>
        <v>60</v>
      </c>
      <c r="O13">
        <f t="shared" si="9"/>
        <v>568</v>
      </c>
      <c r="P13">
        <f t="shared" si="10"/>
        <v>0.0625</v>
      </c>
      <c r="Q13">
        <f t="shared" si="2"/>
        <v>231944.35</v>
      </c>
      <c r="R13">
        <f t="shared" si="11"/>
        <v>-567.350000000006</v>
      </c>
      <c r="S13">
        <f t="shared" si="17"/>
        <v>-16.375</v>
      </c>
      <c r="T13">
        <f t="shared" si="12"/>
        <v>818.375</v>
      </c>
      <c r="U13">
        <f t="shared" si="18"/>
        <v>16.5</v>
      </c>
    </row>
    <row r="14" spans="1:21">
      <c r="B14">
        <f t="shared" si="3"/>
        <v>232179</v>
      </c>
      <c r="C14">
        <f t="shared" si="13"/>
        <v>802</v>
      </c>
      <c r="D14">
        <v>232708.1</v>
      </c>
      <c r="E14">
        <f t="shared" si="4"/>
        <v>776</v>
      </c>
      <c r="F14">
        <f t="shared" si="14"/>
        <v>-48</v>
      </c>
      <c r="G14">
        <f t="shared" si="5"/>
        <v>-3</v>
      </c>
      <c r="H14">
        <f t="shared" si="15"/>
        <v>-529.100000000006</v>
      </c>
      <c r="I14">
        <f t="shared" si="16"/>
        <v>26</v>
      </c>
      <c r="J14">
        <f t="shared" si="0"/>
        <v>768</v>
      </c>
      <c r="K14">
        <f t="shared" si="6"/>
        <v>1280</v>
      </c>
      <c r="L14">
        <f t="shared" si="1"/>
        <v>0.46875</v>
      </c>
      <c r="M14">
        <f t="shared" si="7"/>
        <v>346</v>
      </c>
      <c r="N14">
        <f t="shared" si="8"/>
        <v>406</v>
      </c>
      <c r="O14">
        <f t="shared" si="9"/>
        <v>974</v>
      </c>
      <c r="P14">
        <f t="shared" si="10"/>
        <v>0.0625</v>
      </c>
      <c r="Q14">
        <f t="shared" si="2"/>
        <v>232729.725</v>
      </c>
      <c r="R14">
        <f t="shared" si="11"/>
        <v>-550.725000000006</v>
      </c>
      <c r="S14">
        <f t="shared" si="17"/>
        <v>16.625</v>
      </c>
      <c r="T14">
        <f t="shared" si="12"/>
        <v>785.375</v>
      </c>
      <c r="U14">
        <f t="shared" si="18"/>
        <v>-33</v>
      </c>
    </row>
    <row r="15" spans="1:21">
      <c r="B15">
        <f t="shared" si="3"/>
        <v>232981</v>
      </c>
      <c r="C15">
        <f t="shared" si="13"/>
        <v>802</v>
      </c>
      <c r="D15">
        <v>233524.1</v>
      </c>
      <c r="E15">
        <f t="shared" si="4"/>
        <v>816</v>
      </c>
      <c r="F15">
        <f t="shared" si="14"/>
        <v>40</v>
      </c>
      <c r="G15">
        <f t="shared" si="5"/>
        <v>2</v>
      </c>
      <c r="H15">
        <f t="shared" si="15"/>
        <v>-543.100000000006</v>
      </c>
      <c r="I15">
        <f t="shared" si="16"/>
        <v>-14</v>
      </c>
      <c r="J15">
        <f t="shared" si="0"/>
        <v>-1024</v>
      </c>
      <c r="K15">
        <f t="shared" si="6"/>
        <v>-1792</v>
      </c>
      <c r="L15">
        <f t="shared" si="1"/>
        <v>0.46875</v>
      </c>
      <c r="M15">
        <f t="shared" si="7"/>
        <v>136</v>
      </c>
      <c r="N15">
        <f t="shared" si="8"/>
        <v>542</v>
      </c>
      <c r="O15">
        <f t="shared" si="9"/>
        <v>492</v>
      </c>
      <c r="P15">
        <f t="shared" si="10"/>
        <v>0.0625</v>
      </c>
      <c r="Q15">
        <f t="shared" si="2"/>
        <v>233532.6</v>
      </c>
      <c r="R15">
        <f t="shared" si="11"/>
        <v>-551.600000000006</v>
      </c>
      <c r="S15">
        <f t="shared" si="17"/>
        <v>-0.875</v>
      </c>
      <c r="T15">
        <f t="shared" si="12"/>
        <v>802.875</v>
      </c>
      <c r="U15">
        <f t="shared" si="18"/>
        <v>17.5</v>
      </c>
    </row>
    <row r="16" spans="1:21">
      <c r="B16">
        <f t="shared" si="3"/>
        <v>233783</v>
      </c>
      <c r="C16">
        <f t="shared" si="13"/>
        <v>802</v>
      </c>
      <c r="D16">
        <v>234316.1</v>
      </c>
      <c r="E16">
        <f t="shared" si="4"/>
        <v>792</v>
      </c>
      <c r="F16">
        <f t="shared" si="14"/>
        <v>-24</v>
      </c>
      <c r="G16">
        <f t="shared" si="5"/>
        <v>-1</v>
      </c>
      <c r="H16">
        <f t="shared" si="15"/>
        <v>-533.100000000006</v>
      </c>
      <c r="I16">
        <f t="shared" si="16"/>
        <v>10</v>
      </c>
      <c r="J16">
        <f t="shared" si="0"/>
        <v>1280</v>
      </c>
      <c r="K16">
        <f t="shared" si="6"/>
        <v>2304</v>
      </c>
      <c r="L16">
        <f t="shared" si="1"/>
        <v>0.46875</v>
      </c>
      <c r="M16">
        <f t="shared" si="7"/>
        <v>406</v>
      </c>
      <c r="N16">
        <f t="shared" si="8"/>
        <v>948</v>
      </c>
      <c r="O16">
        <f t="shared" si="9"/>
        <v>416</v>
      </c>
      <c r="P16">
        <f t="shared" si="10"/>
        <v>0.0625</v>
      </c>
      <c r="Q16">
        <f t="shared" si="2"/>
        <v>234341.475</v>
      </c>
      <c r="R16">
        <f t="shared" si="11"/>
        <v>-558.475000000006</v>
      </c>
      <c r="S16">
        <f t="shared" si="17"/>
        <v>-6.875</v>
      </c>
      <c r="T16">
        <f t="shared" si="12"/>
        <v>808.875</v>
      </c>
      <c r="U16">
        <f t="shared" si="18"/>
        <v>6</v>
      </c>
    </row>
    <row r="17" spans="1:21">
      <c r="B17">
        <f t="shared" si="3"/>
        <v>234585</v>
      </c>
      <c r="C17">
        <f t="shared" si="13"/>
        <v>802</v>
      </c>
      <c r="D17">
        <v>235140.1</v>
      </c>
      <c r="E17">
        <f t="shared" si="4"/>
        <v>824</v>
      </c>
      <c r="F17">
        <f t="shared" si="14"/>
        <v>32</v>
      </c>
      <c r="G17">
        <f t="shared" si="5"/>
        <v>3</v>
      </c>
      <c r="H17">
        <f t="shared" si="15"/>
        <v>-555.100000000006</v>
      </c>
      <c r="I17">
        <f t="shared" si="16"/>
        <v>-22</v>
      </c>
      <c r="J17">
        <f t="shared" si="0"/>
        <v>-1536</v>
      </c>
      <c r="K17">
        <f t="shared" si="6"/>
        <v>-2816</v>
      </c>
      <c r="L17">
        <f t="shared" si="1"/>
        <v>0.46875</v>
      </c>
      <c r="M17">
        <f t="shared" si="7"/>
        <v>76</v>
      </c>
      <c r="N17">
        <f t="shared" si="8"/>
        <v>0</v>
      </c>
      <c r="O17">
        <f t="shared" si="9"/>
        <v>416</v>
      </c>
      <c r="P17">
        <f t="shared" si="10"/>
        <v>0.0625</v>
      </c>
      <c r="Q17">
        <f t="shared" si="2"/>
        <v>235144.85</v>
      </c>
      <c r="R17">
        <f t="shared" si="11"/>
        <v>-559.850000000006</v>
      </c>
      <c r="S17">
        <f t="shared" si="17"/>
        <v>-1.375</v>
      </c>
      <c r="T17">
        <f t="shared" si="12"/>
        <v>803.375</v>
      </c>
      <c r="U17">
        <f t="shared" si="18"/>
        <v>-5.5</v>
      </c>
    </row>
    <row r="18" spans="1:21">
      <c r="B18">
        <f t="shared" si="3"/>
        <v>235387</v>
      </c>
      <c r="C18">
        <f t="shared" si="13"/>
        <v>802</v>
      </c>
      <c r="D18">
        <v>235916.1</v>
      </c>
      <c r="E18">
        <f t="shared" si="4"/>
        <v>776</v>
      </c>
      <c r="F18">
        <f t="shared" si="14"/>
        <v>-48</v>
      </c>
      <c r="G18">
        <f t="shared" si="5"/>
        <v>-3</v>
      </c>
      <c r="H18">
        <f t="shared" si="15"/>
        <v>-529.100000000006</v>
      </c>
      <c r="I18">
        <f t="shared" si="16"/>
        <v>26</v>
      </c>
      <c r="J18">
        <f t="shared" si="0"/>
        <v>768</v>
      </c>
      <c r="K18">
        <f t="shared" si="6"/>
        <v>2304</v>
      </c>
      <c r="L18">
        <f t="shared" si="1"/>
        <v>0.46875</v>
      </c>
      <c r="M18">
        <f t="shared" si="7"/>
        <v>346</v>
      </c>
      <c r="N18">
        <f t="shared" si="8"/>
        <v>346</v>
      </c>
      <c r="O18">
        <f t="shared" si="9"/>
        <v>762</v>
      </c>
      <c r="P18">
        <f t="shared" si="10"/>
        <v>0.0625</v>
      </c>
      <c r="Q18">
        <f t="shared" si="2"/>
        <v>235937.725</v>
      </c>
      <c r="R18">
        <f t="shared" si="11"/>
        <v>-550.725000000006</v>
      </c>
      <c r="S18">
        <f t="shared" si="17"/>
        <v>9.125</v>
      </c>
      <c r="T18">
        <f t="shared" si="12"/>
        <v>792.875</v>
      </c>
      <c r="U18">
        <f t="shared" si="18"/>
        <v>-10.5</v>
      </c>
    </row>
    <row r="19" spans="1:21">
      <c r="B19">
        <f t="shared" si="3"/>
        <v>236189</v>
      </c>
      <c r="C19">
        <f t="shared" si="13"/>
        <v>802</v>
      </c>
      <c r="D19">
        <v>236724.1</v>
      </c>
      <c r="E19">
        <f t="shared" si="4"/>
        <v>808</v>
      </c>
      <c r="F19">
        <f t="shared" si="14"/>
        <v>32</v>
      </c>
      <c r="G19">
        <f t="shared" si="5"/>
        <v>1</v>
      </c>
      <c r="H19">
        <f t="shared" si="15"/>
        <v>-535.100000000006</v>
      </c>
      <c r="I19">
        <f t="shared" si="16"/>
        <v>-6</v>
      </c>
      <c r="J19">
        <f t="shared" si="0"/>
        <v>0</v>
      </c>
      <c r="K19">
        <f t="shared" si="6"/>
        <v>-768</v>
      </c>
      <c r="L19">
        <f t="shared" si="1"/>
        <v>0.46875</v>
      </c>
      <c r="M19">
        <f t="shared" si="7"/>
        <v>256</v>
      </c>
      <c r="N19">
        <f t="shared" si="8"/>
        <v>602</v>
      </c>
      <c r="O19">
        <f t="shared" si="9"/>
        <v>340</v>
      </c>
      <c r="P19">
        <f t="shared" si="10"/>
        <v>0.0625</v>
      </c>
      <c r="Q19">
        <f t="shared" si="2"/>
        <v>236740.1</v>
      </c>
      <c r="R19">
        <f t="shared" si="11"/>
        <v>-551.100000000006</v>
      </c>
      <c r="S19">
        <f t="shared" si="17"/>
        <v>-0.375</v>
      </c>
      <c r="T19">
        <f t="shared" si="12"/>
        <v>802.375</v>
      </c>
      <c r="U19">
        <f t="shared" si="18"/>
        <v>9.5</v>
      </c>
    </row>
    <row r="20" spans="1:21">
      <c r="B20">
        <f t="shared" si="3"/>
        <v>236991</v>
      </c>
      <c r="C20">
        <f t="shared" si="13"/>
        <v>802</v>
      </c>
      <c r="D20">
        <v>237524.1</v>
      </c>
      <c r="E20">
        <f t="shared" si="4"/>
        <v>800</v>
      </c>
      <c r="F20">
        <f t="shared" si="14"/>
        <v>-8</v>
      </c>
      <c r="G20">
        <f t="shared" si="5"/>
        <v>0</v>
      </c>
      <c r="H20">
        <f t="shared" si="15"/>
        <v>-533.100000000006</v>
      </c>
      <c r="I20">
        <f t="shared" si="16"/>
        <v>2</v>
      </c>
      <c r="J20">
        <f t="shared" si="0"/>
        <v>256</v>
      </c>
      <c r="K20">
        <f t="shared" si="6"/>
        <v>256</v>
      </c>
      <c r="L20">
        <f t="shared" si="1"/>
        <v>0.46875</v>
      </c>
      <c r="M20">
        <f t="shared" si="7"/>
        <v>286</v>
      </c>
      <c r="N20">
        <f t="shared" si="8"/>
        <v>888</v>
      </c>
      <c r="O20">
        <f t="shared" si="9"/>
        <v>204</v>
      </c>
      <c r="P20">
        <f t="shared" si="10"/>
        <v>0.0625</v>
      </c>
      <c r="Q20">
        <f t="shared" si="2"/>
        <v>237541.975</v>
      </c>
      <c r="R20">
        <f t="shared" si="11"/>
        <v>-550.975000000006</v>
      </c>
      <c r="S20">
        <f t="shared" si="17"/>
        <v>0.125</v>
      </c>
      <c r="T20">
        <f t="shared" si="12"/>
        <v>801.875</v>
      </c>
      <c r="U20">
        <f t="shared" si="18"/>
        <v>-0.5</v>
      </c>
    </row>
    <row r="21" spans="1:21">
      <c r="B21">
        <f t="shared" si="3"/>
        <v>237793</v>
      </c>
      <c r="C21">
        <f t="shared" si="13"/>
        <v>802</v>
      </c>
      <c r="D21">
        <v>238348.1</v>
      </c>
      <c r="E21">
        <f t="shared" si="4"/>
        <v>824</v>
      </c>
      <c r="F21">
        <f t="shared" si="14"/>
        <v>24</v>
      </c>
      <c r="G21">
        <f t="shared" si="5"/>
        <v>3</v>
      </c>
      <c r="H21">
        <f t="shared" si="15"/>
        <v>-555.100000000006</v>
      </c>
      <c r="I21">
        <f t="shared" si="16"/>
        <v>-22</v>
      </c>
      <c r="J21">
        <f t="shared" si="0"/>
        <v>-512</v>
      </c>
      <c r="K21">
        <f t="shared" si="6"/>
        <v>-768</v>
      </c>
      <c r="L21">
        <f t="shared" si="1"/>
        <v>0.46875</v>
      </c>
      <c r="M21">
        <f t="shared" si="7"/>
        <v>196</v>
      </c>
      <c r="N21">
        <f t="shared" si="8"/>
        <v>60</v>
      </c>
      <c r="O21">
        <f t="shared" si="9"/>
        <v>264</v>
      </c>
      <c r="P21">
        <f t="shared" si="10"/>
        <v>0.0625</v>
      </c>
      <c r="Q21">
        <f t="shared" si="2"/>
        <v>238360.35</v>
      </c>
      <c r="R21">
        <f t="shared" si="11"/>
        <v>-567.350000000006</v>
      </c>
      <c r="S21">
        <f t="shared" si="17"/>
        <v>-16.375</v>
      </c>
      <c r="T21">
        <f t="shared" si="12"/>
        <v>818.375</v>
      </c>
      <c r="U21">
        <f t="shared" si="18"/>
        <v>16.5</v>
      </c>
    </row>
    <row r="22" spans="1:21">
      <c r="B22">
        <f t="shared" si="3"/>
        <v>238595</v>
      </c>
      <c r="C22">
        <f t="shared" si="13"/>
        <v>802</v>
      </c>
      <c r="D22">
        <v>239124.1</v>
      </c>
      <c r="E22">
        <f t="shared" si="4"/>
        <v>776</v>
      </c>
      <c r="F22">
        <f t="shared" si="14"/>
        <v>-48</v>
      </c>
      <c r="G22">
        <f t="shared" si="5"/>
        <v>-3</v>
      </c>
      <c r="H22">
        <f t="shared" si="15"/>
        <v>-529.100000000006</v>
      </c>
      <c r="I22">
        <f t="shared" si="16"/>
        <v>26</v>
      </c>
      <c r="J22">
        <f t="shared" si="0"/>
        <v>768</v>
      </c>
      <c r="K22">
        <f t="shared" si="6"/>
        <v>1280</v>
      </c>
      <c r="L22">
        <f t="shared" si="1"/>
        <v>0.46875</v>
      </c>
      <c r="M22">
        <f t="shared" si="7"/>
        <v>346</v>
      </c>
      <c r="N22">
        <f t="shared" si="8"/>
        <v>406</v>
      </c>
      <c r="O22">
        <f t="shared" si="9"/>
        <v>670</v>
      </c>
      <c r="P22">
        <f t="shared" si="10"/>
        <v>0.0625</v>
      </c>
      <c r="Q22">
        <f t="shared" si="2"/>
        <v>239145.725</v>
      </c>
      <c r="R22">
        <f t="shared" si="11"/>
        <v>-550.725000000006</v>
      </c>
      <c r="S22">
        <f t="shared" si="17"/>
        <v>16.625</v>
      </c>
      <c r="T22">
        <f t="shared" si="12"/>
        <v>785.375</v>
      </c>
      <c r="U22">
        <f t="shared" si="18"/>
        <v>-33</v>
      </c>
    </row>
    <row r="23" ht="31" customHeight="1" spans="1:21">
      <c r="A23" t="s">
        <v>18</v>
      </c>
      <c r="B23">
        <f>SUM(B3:B22)/COUNT(B3:B22)</f>
        <v>230976</v>
      </c>
      <c r="C23">
        <f>SUM(C3:C22)/COUNT(C3:C22)</f>
        <v>802</v>
      </c>
      <c r="D23">
        <f>SUM(D3:D22)/COUNT(D3:D22)</f>
        <v>231514.9</v>
      </c>
      <c r="E23">
        <f>SUM(E3:E22)/COUNT(E3:E22)</f>
        <v>802</v>
      </c>
      <c r="F23" cm="1">
        <f t="array" ref="F23">MAX(ABS(F4:F22))</f>
        <v>48</v>
      </c>
      <c r="G23">
        <f>SUM(G3:G22)/COUNT(G3:G22)</f>
        <v>0.25</v>
      </c>
      <c r="H23">
        <f>SUM(H3:H22)/COUNT(H3:H22)</f>
        <v>-538.900000000006</v>
      </c>
      <c r="I23">
        <f>SUM(I3:I22)/COUNT(I3:I22)</f>
        <v>0</v>
      </c>
      <c r="J23">
        <f>SUM(J3:J22)/COUNT(J3:J22)</f>
        <v>25.6</v>
      </c>
      <c r="L23">
        <f>SUM(L3:L22)/COUNT(L3:L22)</f>
        <v>0.46875</v>
      </c>
      <c r="M23">
        <f>SUM(M3:M22)/COUNT(M3:M22)</f>
        <v>259</v>
      </c>
      <c r="P23">
        <f>SUM(P3:P22)/COUNT(P3:P22)</f>
        <v>0.0625</v>
      </c>
      <c r="Q23">
        <f>SUM(Q3:Q22)/COUNT(Q3:Q22)</f>
        <v>231531.0875</v>
      </c>
      <c r="R23">
        <f>SUM(R3:R22)/COUNT(R3:R22)</f>
        <v>-555.087500000006</v>
      </c>
      <c r="S23">
        <f>SUM(S3:S22)/COUNT(S3:S22)</f>
        <v>0</v>
      </c>
      <c r="T23">
        <f>SUM(T3:T22)/COUNT(T3:T22)</f>
        <v>802</v>
      </c>
      <c r="U23" cm="1">
        <f t="array" ref="U23">MAX(ABS(U4:U22))</f>
        <v>33</v>
      </c>
    </row>
    <row r="25" spans="1:21">
      <c r="F25" t="s">
        <v>19</v>
      </c>
      <c r="G25" t="s">
        <v>20</v>
      </c>
      <c r="H25" t="s">
        <v>21</v>
      </c>
    </row>
    <row r="26" spans="1:21">
      <c r="F26">
        <v>256</v>
      </c>
      <c r="G26">
        <v>0</v>
      </c>
      <c r="H26">
        <v>768</v>
      </c>
    </row>
    <row r="27" spans="1:21">
      <c r="F27">
        <v>512</v>
      </c>
      <c r="G27">
        <v>256</v>
      </c>
      <c r="H27">
        <v>0</v>
      </c>
    </row>
    <row r="28" spans="1:21">
      <c r="F28">
        <v>768</v>
      </c>
      <c r="G28">
        <v>512</v>
      </c>
      <c r="H28">
        <v>256</v>
      </c>
    </row>
    <row r="29" spans="1:21">
      <c r="F29">
        <v>0</v>
      </c>
      <c r="G29">
        <v>-256</v>
      </c>
      <c r="H29">
        <v>-512</v>
      </c>
    </row>
    <row r="30" spans="1:21">
      <c r="F30">
        <v>256</v>
      </c>
      <c r="G30">
        <v>0</v>
      </c>
      <c r="H30">
        <v>768</v>
      </c>
    </row>
    <row r="31" spans="1:21">
      <c r="F31">
        <v>512</v>
      </c>
      <c r="G31">
        <v>256</v>
      </c>
      <c r="H31">
        <v>-1024</v>
      </c>
    </row>
    <row r="32" spans="1:21">
      <c r="F32">
        <v>768</v>
      </c>
      <c r="G32">
        <v>-512</v>
      </c>
      <c r="H32">
        <v>1280</v>
      </c>
    </row>
    <row r="33" spans="6:8">
      <c r="F33">
        <v>0</v>
      </c>
      <c r="G33">
        <v>-256</v>
      </c>
      <c r="H33">
        <v>-1536</v>
      </c>
    </row>
    <row r="34" spans="6:8">
      <c r="F34">
        <v>256</v>
      </c>
      <c r="G34">
        <v>0</v>
      </c>
      <c r="H34">
        <v>768</v>
      </c>
    </row>
    <row r="35" spans="6:8">
      <c r="F35">
        <v>512</v>
      </c>
      <c r="G35">
        <v>256</v>
      </c>
      <c r="H35">
        <v>0</v>
      </c>
    </row>
    <row r="36" spans="6:8">
      <c r="F36">
        <v>768</v>
      </c>
      <c r="G36">
        <v>512</v>
      </c>
      <c r="H36">
        <v>256</v>
      </c>
    </row>
    <row r="37" spans="6:8">
      <c r="F37">
        <v>0</v>
      </c>
      <c r="G37">
        <v>-256</v>
      </c>
      <c r="H37">
        <v>-512</v>
      </c>
    </row>
    <row r="38" spans="6:8">
      <c r="F38">
        <v>256</v>
      </c>
      <c r="G38">
        <v>0</v>
      </c>
      <c r="H38">
        <v>768</v>
      </c>
    </row>
    <row r="39" spans="6:8">
      <c r="F39">
        <v>512</v>
      </c>
      <c r="G39">
        <v>256</v>
      </c>
      <c r="H39">
        <v>-1024</v>
      </c>
    </row>
    <row r="40" spans="6:8">
      <c r="F40">
        <v>768</v>
      </c>
      <c r="G40">
        <v>-512</v>
      </c>
      <c r="H40">
        <v>1280</v>
      </c>
    </row>
    <row r="41" spans="6:8">
      <c r="F41">
        <v>0</v>
      </c>
      <c r="G41">
        <v>-256</v>
      </c>
      <c r="H41">
        <v>-1536</v>
      </c>
    </row>
    <row r="42" spans="6:8">
      <c r="F42">
        <v>256</v>
      </c>
      <c r="G42">
        <v>0</v>
      </c>
      <c r="H42">
        <v>768</v>
      </c>
    </row>
    <row r="43" spans="6:8">
      <c r="F43">
        <v>512</v>
      </c>
      <c r="G43">
        <v>256</v>
      </c>
      <c r="H43">
        <v>0</v>
      </c>
    </row>
    <row r="44" spans="6:8">
      <c r="F44">
        <v>768</v>
      </c>
      <c r="G44">
        <v>512</v>
      </c>
      <c r="H44">
        <v>256</v>
      </c>
    </row>
    <row r="45" spans="6:8">
      <c r="F45">
        <v>0</v>
      </c>
      <c r="G45">
        <v>-256</v>
      </c>
      <c r="H45">
        <v>-512</v>
      </c>
    </row>
    <row r="46" spans="6:8">
      <c r="F46">
        <v>256</v>
      </c>
      <c r="G46">
        <v>0</v>
      </c>
      <c r="H46">
        <v>768</v>
      </c>
    </row>
    <row r="47" spans="6:8">
      <c r="F47">
        <v>512</v>
      </c>
      <c r="G47">
        <v>256</v>
      </c>
      <c r="H47">
        <v>-1024</v>
      </c>
    </row>
    <row r="48" spans="6:8">
      <c r="F48">
        <v>768</v>
      </c>
      <c r="G48">
        <v>-512</v>
      </c>
      <c r="H48">
        <v>1280</v>
      </c>
    </row>
    <row r="49" spans="6:8">
      <c r="F49">
        <v>0</v>
      </c>
      <c r="G49">
        <v>-256</v>
      </c>
      <c r="H49">
        <v>-1536</v>
      </c>
    </row>
    <row r="50" spans="6:8">
      <c r="F50">
        <v>256</v>
      </c>
      <c r="G50">
        <v>0</v>
      </c>
      <c r="H50">
        <v>768</v>
      </c>
    </row>
    <row r="51" spans="6:8">
      <c r="F51">
        <v>512</v>
      </c>
      <c r="G51">
        <v>256</v>
      </c>
      <c r="H51">
        <v>0</v>
      </c>
    </row>
    <row r="52" spans="6:8">
      <c r="F52">
        <v>768</v>
      </c>
      <c r="G52">
        <v>512</v>
      </c>
      <c r="H52">
        <v>256</v>
      </c>
    </row>
    <row r="53" spans="6:8">
      <c r="F53">
        <v>0</v>
      </c>
      <c r="G53">
        <v>-256</v>
      </c>
      <c r="H53">
        <v>-512</v>
      </c>
    </row>
    <row r="54" spans="6:8">
      <c r="F54">
        <v>256</v>
      </c>
      <c r="G54">
        <v>0</v>
      </c>
      <c r="H54">
        <v>768</v>
      </c>
    </row>
    <row r="55" spans="6:8">
      <c r="F55">
        <v>512</v>
      </c>
      <c r="G55">
        <v>256</v>
      </c>
      <c r="H55">
        <v>-1024</v>
      </c>
    </row>
    <row r="56" spans="6:8">
      <c r="F56">
        <v>768</v>
      </c>
      <c r="G56">
        <v>-512</v>
      </c>
      <c r="H56">
        <v>1280</v>
      </c>
    </row>
    <row r="57" spans="6:8">
      <c r="F57">
        <v>0</v>
      </c>
      <c r="G57">
        <v>-256</v>
      </c>
      <c r="H57">
        <v>-1536</v>
      </c>
    </row>
    <row r="58" spans="6:8">
      <c r="F58">
        <v>256</v>
      </c>
      <c r="G58">
        <v>0</v>
      </c>
      <c r="H58">
        <v>768</v>
      </c>
    </row>
    <row r="59" spans="6:8">
      <c r="F59">
        <v>512</v>
      </c>
      <c r="G59">
        <v>256</v>
      </c>
      <c r="H59">
        <v>0</v>
      </c>
    </row>
    <row r="60" spans="6:8">
      <c r="F60">
        <v>768</v>
      </c>
      <c r="G60">
        <v>512</v>
      </c>
      <c r="H60">
        <v>256</v>
      </c>
    </row>
    <row r="61" spans="6:8">
      <c r="F61">
        <v>0</v>
      </c>
      <c r="G61">
        <v>-256</v>
      </c>
      <c r="H61">
        <v>-512</v>
      </c>
    </row>
    <row r="62" spans="6:8">
      <c r="F62">
        <v>256</v>
      </c>
      <c r="G62">
        <v>0</v>
      </c>
      <c r="H62">
        <v>768</v>
      </c>
    </row>
    <row r="63" spans="6:8">
      <c r="F63">
        <v>512</v>
      </c>
      <c r="G63">
        <v>256</v>
      </c>
      <c r="H63">
        <v>-1024</v>
      </c>
    </row>
    <row r="64" spans="6:8">
      <c r="F64">
        <v>768</v>
      </c>
      <c r="G64">
        <v>-512</v>
      </c>
      <c r="H64">
        <v>1280</v>
      </c>
    </row>
    <row r="65" spans="6:8">
      <c r="F65">
        <v>0</v>
      </c>
      <c r="G65">
        <v>-256</v>
      </c>
      <c r="H65">
        <v>-1536</v>
      </c>
    </row>
    <row r="66" spans="6:8">
      <c r="F66">
        <v>256</v>
      </c>
      <c r="G66">
        <v>0</v>
      </c>
      <c r="H66">
        <v>768</v>
      </c>
    </row>
    <row r="67" spans="6:8">
      <c r="F67">
        <v>512</v>
      </c>
      <c r="G67">
        <v>256</v>
      </c>
      <c r="H67">
        <v>0</v>
      </c>
    </row>
    <row r="68" spans="6:8">
      <c r="F68">
        <v>768</v>
      </c>
      <c r="G68">
        <v>512</v>
      </c>
      <c r="H68">
        <v>256</v>
      </c>
    </row>
    <row r="69" spans="6:8">
      <c r="F69">
        <v>0</v>
      </c>
      <c r="G69">
        <v>-256</v>
      </c>
      <c r="H69">
        <v>-512</v>
      </c>
    </row>
    <row r="70" spans="6:8">
      <c r="F70">
        <v>256</v>
      </c>
      <c r="G70">
        <v>0</v>
      </c>
      <c r="H70">
        <v>768</v>
      </c>
    </row>
    <row r="71" spans="6:8">
      <c r="F71">
        <v>512</v>
      </c>
      <c r="G71">
        <v>256</v>
      </c>
      <c r="H71">
        <v>-1024</v>
      </c>
    </row>
    <row r="72" spans="6:8">
      <c r="F72">
        <v>768</v>
      </c>
      <c r="G72">
        <v>-512</v>
      </c>
      <c r="H72">
        <v>1280</v>
      </c>
    </row>
    <row r="73" spans="6:8">
      <c r="F73">
        <v>0</v>
      </c>
      <c r="G73">
        <v>-256</v>
      </c>
      <c r="H73">
        <v>-1536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2"/>
  <sheetViews>
    <sheetView tabSelected="1" workbookViewId="0">
      <selection activeCell="D33" sqref="D33"/>
    </sheetView>
  </sheetViews>
  <sheetFormatPr defaultColWidth="9" defaultRowHeight="13.5"/>
  <cols>
    <col min="1" max="1" width="5.375" customWidth="1"/>
    <col min="2" max="2" width="14.875" customWidth="1"/>
    <col min="3" max="3" width="11.5" customWidth="1"/>
    <col min="4" max="4" width="14.875" customWidth="1"/>
    <col min="5" max="7" width="11.5" customWidth="1"/>
    <col min="8" max="8" width="13.75" customWidth="1"/>
    <col min="9" max="9" width="11.5" customWidth="1"/>
    <col min="10" max="10" width="10.375" customWidth="1"/>
    <col min="11" max="11" width="10.375" hidden="1" customWidth="1"/>
    <col min="12" max="13" width="9.375" customWidth="1"/>
    <col min="14" max="15" width="14.875" customWidth="1"/>
    <col min="16" max="16" width="11.5" hidden="1" customWidth="1"/>
    <col min="17" max="19" width="11.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14</v>
      </c>
      <c r="O1" t="s">
        <v>15</v>
      </c>
      <c r="P1" t="s">
        <v>16</v>
      </c>
      <c r="Q1" t="s">
        <v>2</v>
      </c>
      <c r="R1" t="s">
        <v>17</v>
      </c>
      <c r="S1" t="s">
        <v>4</v>
      </c>
    </row>
    <row r="2" spans="1:19">
      <c r="B2" s="2">
        <v>170425000</v>
      </c>
      <c r="C2" s="3"/>
      <c r="D2" s="2">
        <v>170156100</v>
      </c>
      <c r="E2" s="3"/>
      <c r="F2" s="3"/>
      <c r="G2" s="3"/>
      <c r="H2" s="3">
        <f t="shared" ref="H2:H22" si="0">B2-D2</f>
        <v>268900</v>
      </c>
      <c r="I2" s="3"/>
      <c r="J2" s="1">
        <v>3328</v>
      </c>
      <c r="K2" s="3"/>
      <c r="L2" s="4">
        <v>0.5</v>
      </c>
      <c r="M2" s="3">
        <f t="shared" ref="M2:M22" si="1">(J3/4)*L2+256</f>
        <v>-448</v>
      </c>
      <c r="N2" s="4">
        <v>0.0625</v>
      </c>
      <c r="O2" s="3">
        <f t="shared" ref="O2:O22" si="2">D2+M2*N2</f>
        <v>170156072</v>
      </c>
      <c r="P2" s="3">
        <f t="shared" ref="P2:P22" si="3">B2-O2</f>
        <v>268928</v>
      </c>
      <c r="Q2" s="3"/>
      <c r="R2" s="3"/>
      <c r="S2" s="3"/>
    </row>
    <row r="3" spans="1:19">
      <c r="B3" s="2">
        <v>171227000</v>
      </c>
      <c r="C3" s="3">
        <f t="shared" ref="C3:C22" si="4">B3-B2</f>
        <v>802000</v>
      </c>
      <c r="D3" s="2">
        <v>170980100</v>
      </c>
      <c r="E3" s="3">
        <f t="shared" ref="E3:E22" si="5">-D2+D3</f>
        <v>824000</v>
      </c>
      <c r="F3" s="3"/>
      <c r="G3" s="3">
        <f>E3/8000-100</f>
        <v>3</v>
      </c>
      <c r="H3" s="3">
        <f t="shared" si="0"/>
        <v>246900</v>
      </c>
      <c r="I3" s="3">
        <f>H3-H2</f>
        <v>-22000</v>
      </c>
      <c r="J3" s="1">
        <v>-5632</v>
      </c>
      <c r="K3" s="3">
        <f>J3-J2</f>
        <v>-8960</v>
      </c>
      <c r="L3" s="3">
        <f t="shared" ref="L3:L22" si="6">L2</f>
        <v>0.5</v>
      </c>
      <c r="M3" s="3">
        <f t="shared" si="1"/>
        <v>608</v>
      </c>
      <c r="N3" s="3">
        <f t="shared" ref="N3:N22" si="7">N2</f>
        <v>0.0625</v>
      </c>
      <c r="O3" s="3">
        <f t="shared" si="2"/>
        <v>170980138</v>
      </c>
      <c r="P3" s="3">
        <f t="shared" si="3"/>
        <v>246862</v>
      </c>
      <c r="Q3" s="3">
        <f t="shared" ref="Q3:Q22" si="8">P3-P2</f>
        <v>-22066</v>
      </c>
      <c r="R3" s="3">
        <f>O3-O2</f>
        <v>824066</v>
      </c>
      <c r="S3" s="3"/>
    </row>
    <row r="4" spans="1:19">
      <c r="B4" s="2">
        <v>172029000</v>
      </c>
      <c r="C4" s="3">
        <f t="shared" si="4"/>
        <v>802000</v>
      </c>
      <c r="D4" s="2">
        <v>171756100</v>
      </c>
      <c r="E4" s="3">
        <f t="shared" si="5"/>
        <v>776000</v>
      </c>
      <c r="F4" s="3">
        <f>E4-E3</f>
        <v>-48000</v>
      </c>
      <c r="G4" s="3">
        <f t="shared" ref="G4:G35" si="9">E4/8000-100</f>
        <v>-3</v>
      </c>
      <c r="H4" s="3">
        <f t="shared" si="0"/>
        <v>272900</v>
      </c>
      <c r="I4" s="3">
        <f>H4-H3</f>
        <v>26000</v>
      </c>
      <c r="J4" s="1">
        <v>2816</v>
      </c>
      <c r="K4" s="3">
        <f t="shared" ref="K4:K35" si="10">J4-J3</f>
        <v>8448</v>
      </c>
      <c r="L4" s="3">
        <f t="shared" si="6"/>
        <v>0.5</v>
      </c>
      <c r="M4" s="3">
        <f t="shared" si="1"/>
        <v>256</v>
      </c>
      <c r="N4" s="3">
        <f t="shared" si="7"/>
        <v>0.0625</v>
      </c>
      <c r="O4" s="3">
        <f t="shared" si="2"/>
        <v>171756116</v>
      </c>
      <c r="P4" s="3">
        <f t="shared" si="3"/>
        <v>272884</v>
      </c>
      <c r="Q4" s="3">
        <f t="shared" si="8"/>
        <v>26022</v>
      </c>
      <c r="R4" s="3">
        <f t="shared" ref="R3:R22" si="11">O4-O3</f>
        <v>775978</v>
      </c>
      <c r="S4" s="3">
        <f>R4-R3</f>
        <v>-48088</v>
      </c>
    </row>
    <row r="5" spans="1:19">
      <c r="B5" s="2">
        <v>172831000</v>
      </c>
      <c r="C5" s="3">
        <f t="shared" si="4"/>
        <v>802000</v>
      </c>
      <c r="D5" s="2">
        <v>172564100</v>
      </c>
      <c r="E5" s="3">
        <f t="shared" si="5"/>
        <v>808000</v>
      </c>
      <c r="F5" s="3">
        <f>E5-E4</f>
        <v>32000</v>
      </c>
      <c r="G5" s="3">
        <f t="shared" si="9"/>
        <v>1</v>
      </c>
      <c r="H5" s="3">
        <f t="shared" si="0"/>
        <v>266900</v>
      </c>
      <c r="I5" s="3">
        <f>H5-H4</f>
        <v>-6000</v>
      </c>
      <c r="J5" s="1">
        <v>0</v>
      </c>
      <c r="K5" s="3">
        <f t="shared" si="10"/>
        <v>-2816</v>
      </c>
      <c r="L5" s="3">
        <f t="shared" si="6"/>
        <v>0.5</v>
      </c>
      <c r="M5" s="3">
        <f t="shared" si="1"/>
        <v>544</v>
      </c>
      <c r="N5" s="3">
        <f t="shared" si="7"/>
        <v>0.0625</v>
      </c>
      <c r="O5" s="3">
        <f t="shared" si="2"/>
        <v>172564134</v>
      </c>
      <c r="P5" s="3">
        <f t="shared" si="3"/>
        <v>266866</v>
      </c>
      <c r="Q5" s="3">
        <f t="shared" si="8"/>
        <v>-6018</v>
      </c>
      <c r="R5" s="3">
        <f t="shared" si="11"/>
        <v>808018</v>
      </c>
      <c r="S5" s="3">
        <f t="shared" ref="S4:S22" si="12">R5-R4</f>
        <v>32040</v>
      </c>
    </row>
    <row r="6" spans="1:19">
      <c r="B6" s="2">
        <v>173633000</v>
      </c>
      <c r="C6" s="3">
        <f t="shared" si="4"/>
        <v>802000</v>
      </c>
      <c r="D6" s="2">
        <v>173364100</v>
      </c>
      <c r="E6" s="3">
        <f t="shared" si="5"/>
        <v>800000</v>
      </c>
      <c r="F6" s="3">
        <f>E6-E5</f>
        <v>-8000</v>
      </c>
      <c r="G6" s="3">
        <f t="shared" si="9"/>
        <v>0</v>
      </c>
      <c r="H6" s="3">
        <f t="shared" si="0"/>
        <v>268900</v>
      </c>
      <c r="I6" s="3">
        <f>H6-H5</f>
        <v>2000</v>
      </c>
      <c r="J6" s="1">
        <v>2304</v>
      </c>
      <c r="K6" s="3">
        <f t="shared" si="10"/>
        <v>2304</v>
      </c>
      <c r="L6" s="3">
        <f t="shared" si="6"/>
        <v>0.5</v>
      </c>
      <c r="M6" s="3">
        <f t="shared" si="1"/>
        <v>-448</v>
      </c>
      <c r="N6" s="3">
        <f t="shared" si="7"/>
        <v>0.0625</v>
      </c>
      <c r="O6" s="3">
        <f t="shared" si="2"/>
        <v>173364072</v>
      </c>
      <c r="P6" s="3">
        <f t="shared" si="3"/>
        <v>268928</v>
      </c>
      <c r="Q6" s="3">
        <f t="shared" si="8"/>
        <v>2062</v>
      </c>
      <c r="R6" s="3">
        <f t="shared" si="11"/>
        <v>799938</v>
      </c>
      <c r="S6" s="3">
        <f t="shared" si="12"/>
        <v>-8080</v>
      </c>
    </row>
    <row r="7" spans="1:19">
      <c r="B7" s="2">
        <v>174435000</v>
      </c>
      <c r="C7" s="3">
        <f t="shared" si="4"/>
        <v>802000</v>
      </c>
      <c r="D7" s="2">
        <v>174188100</v>
      </c>
      <c r="E7" s="3">
        <f t="shared" si="5"/>
        <v>824000</v>
      </c>
      <c r="F7" s="3">
        <f>E7-E6</f>
        <v>24000</v>
      </c>
      <c r="G7" s="3">
        <f t="shared" si="9"/>
        <v>3</v>
      </c>
      <c r="H7" s="3">
        <f t="shared" si="0"/>
        <v>246900</v>
      </c>
      <c r="I7" s="3">
        <f>H7-H6</f>
        <v>-22000</v>
      </c>
      <c r="J7" s="1">
        <v>-5632</v>
      </c>
      <c r="K7" s="3">
        <f t="shared" si="10"/>
        <v>-7936</v>
      </c>
      <c r="L7" s="3">
        <f t="shared" si="6"/>
        <v>0.5</v>
      </c>
      <c r="M7" s="3">
        <f t="shared" si="1"/>
        <v>736</v>
      </c>
      <c r="N7" s="3">
        <f t="shared" si="7"/>
        <v>0.0625</v>
      </c>
      <c r="O7" s="3">
        <f t="shared" si="2"/>
        <v>174188146</v>
      </c>
      <c r="P7" s="3">
        <f t="shared" si="3"/>
        <v>246854</v>
      </c>
      <c r="Q7" s="3">
        <f t="shared" si="8"/>
        <v>-22074</v>
      </c>
      <c r="R7" s="3">
        <f t="shared" si="11"/>
        <v>824074</v>
      </c>
      <c r="S7" s="3">
        <f t="shared" si="12"/>
        <v>24136</v>
      </c>
    </row>
    <row r="8" spans="1:19">
      <c r="B8" s="2">
        <v>175237000</v>
      </c>
      <c r="C8" s="3">
        <f t="shared" si="4"/>
        <v>802000</v>
      </c>
      <c r="D8" s="2">
        <v>174964100</v>
      </c>
      <c r="E8" s="3">
        <f t="shared" si="5"/>
        <v>776000</v>
      </c>
      <c r="F8" s="3">
        <f>E8-E7</f>
        <v>-48000</v>
      </c>
      <c r="G8" s="3">
        <f t="shared" si="9"/>
        <v>-3</v>
      </c>
      <c r="H8" s="3">
        <f t="shared" si="0"/>
        <v>272900</v>
      </c>
      <c r="I8" s="3">
        <f>H8-H7</f>
        <v>26000</v>
      </c>
      <c r="J8" s="1">
        <v>3840</v>
      </c>
      <c r="K8" s="3">
        <f t="shared" si="10"/>
        <v>9472</v>
      </c>
      <c r="L8" s="3">
        <f t="shared" si="6"/>
        <v>0.5</v>
      </c>
      <c r="M8" s="3">
        <f t="shared" si="1"/>
        <v>0</v>
      </c>
      <c r="N8" s="3">
        <f t="shared" si="7"/>
        <v>0.0625</v>
      </c>
      <c r="O8" s="3">
        <f t="shared" si="2"/>
        <v>174964100</v>
      </c>
      <c r="P8" s="3">
        <f t="shared" si="3"/>
        <v>272900</v>
      </c>
      <c r="Q8" s="3">
        <f t="shared" si="8"/>
        <v>26046</v>
      </c>
      <c r="R8" s="3">
        <f t="shared" si="11"/>
        <v>775954</v>
      </c>
      <c r="S8" s="3">
        <f t="shared" si="12"/>
        <v>-48120</v>
      </c>
    </row>
    <row r="9" spans="1:19">
      <c r="B9" s="2">
        <v>176039000</v>
      </c>
      <c r="C9" s="3">
        <f t="shared" si="4"/>
        <v>802000</v>
      </c>
      <c r="D9" s="2">
        <v>175780100</v>
      </c>
      <c r="E9" s="3">
        <f t="shared" si="5"/>
        <v>816000</v>
      </c>
      <c r="F9" s="3">
        <f>E9-E8</f>
        <v>40000</v>
      </c>
      <c r="G9" s="3">
        <f t="shared" si="9"/>
        <v>2</v>
      </c>
      <c r="H9" s="3">
        <f t="shared" si="0"/>
        <v>258900</v>
      </c>
      <c r="I9" s="3">
        <f>H9-H8</f>
        <v>-14000</v>
      </c>
      <c r="J9" s="1">
        <v>-2048</v>
      </c>
      <c r="K9" s="3">
        <f t="shared" si="10"/>
        <v>-5888</v>
      </c>
      <c r="L9" s="3">
        <f t="shared" si="6"/>
        <v>0.5</v>
      </c>
      <c r="M9" s="3">
        <f t="shared" si="1"/>
        <v>672</v>
      </c>
      <c r="N9" s="3">
        <f t="shared" si="7"/>
        <v>0.0625</v>
      </c>
      <c r="O9" s="3">
        <f t="shared" si="2"/>
        <v>175780142</v>
      </c>
      <c r="P9" s="3">
        <f t="shared" si="3"/>
        <v>258858</v>
      </c>
      <c r="Q9" s="3">
        <f t="shared" si="8"/>
        <v>-14042</v>
      </c>
      <c r="R9" s="3">
        <f t="shared" si="11"/>
        <v>816042</v>
      </c>
      <c r="S9" s="3">
        <f t="shared" si="12"/>
        <v>40088</v>
      </c>
    </row>
    <row r="10" spans="1:19">
      <c r="B10" s="2">
        <v>176841000</v>
      </c>
      <c r="C10" s="3">
        <f t="shared" si="4"/>
        <v>802000</v>
      </c>
      <c r="D10" s="2">
        <v>176572100</v>
      </c>
      <c r="E10" s="3">
        <f t="shared" si="5"/>
        <v>792000</v>
      </c>
      <c r="F10" s="3">
        <f>E10-E9</f>
        <v>-24000</v>
      </c>
      <c r="G10" s="3">
        <f t="shared" si="9"/>
        <v>-1</v>
      </c>
      <c r="H10" s="3">
        <f t="shared" si="0"/>
        <v>268900</v>
      </c>
      <c r="I10" s="3">
        <f>H10-H9</f>
        <v>10000</v>
      </c>
      <c r="J10" s="1">
        <v>3328</v>
      </c>
      <c r="K10" s="3">
        <f t="shared" si="10"/>
        <v>5376</v>
      </c>
      <c r="L10" s="3">
        <f t="shared" si="6"/>
        <v>0.5</v>
      </c>
      <c r="M10" s="3">
        <f t="shared" si="1"/>
        <v>-448</v>
      </c>
      <c r="N10" s="3">
        <f t="shared" si="7"/>
        <v>0.0625</v>
      </c>
      <c r="O10" s="3">
        <f t="shared" si="2"/>
        <v>176572072</v>
      </c>
      <c r="P10" s="3">
        <f t="shared" si="3"/>
        <v>268928</v>
      </c>
      <c r="Q10" s="3">
        <f t="shared" si="8"/>
        <v>10070</v>
      </c>
      <c r="R10" s="3">
        <f t="shared" si="11"/>
        <v>791930</v>
      </c>
      <c r="S10" s="3">
        <f t="shared" si="12"/>
        <v>-24112</v>
      </c>
    </row>
    <row r="11" spans="1:19">
      <c r="B11" s="2">
        <v>177643000</v>
      </c>
      <c r="C11" s="3">
        <f t="shared" si="4"/>
        <v>802000</v>
      </c>
      <c r="D11" s="2">
        <v>177396100</v>
      </c>
      <c r="E11" s="3">
        <f t="shared" si="5"/>
        <v>824000</v>
      </c>
      <c r="F11" s="3">
        <f>E11-E10</f>
        <v>32000</v>
      </c>
      <c r="G11" s="3">
        <f t="shared" si="9"/>
        <v>3</v>
      </c>
      <c r="H11" s="3">
        <f t="shared" si="0"/>
        <v>246900</v>
      </c>
      <c r="I11" s="3">
        <f>H11-H10</f>
        <v>-22000</v>
      </c>
      <c r="J11" s="1">
        <v>-5632</v>
      </c>
      <c r="K11" s="3">
        <f t="shared" si="10"/>
        <v>-8960</v>
      </c>
      <c r="L11" s="3">
        <f t="shared" si="6"/>
        <v>0.5</v>
      </c>
      <c r="M11" s="3">
        <f t="shared" si="1"/>
        <v>608</v>
      </c>
      <c r="N11" s="3">
        <f t="shared" si="7"/>
        <v>0.0625</v>
      </c>
      <c r="O11" s="3">
        <f t="shared" si="2"/>
        <v>177396138</v>
      </c>
      <c r="P11" s="3">
        <f t="shared" si="3"/>
        <v>246862</v>
      </c>
      <c r="Q11" s="3">
        <f t="shared" si="8"/>
        <v>-22066</v>
      </c>
      <c r="R11" s="3">
        <f t="shared" si="11"/>
        <v>824066</v>
      </c>
      <c r="S11" s="3">
        <f t="shared" si="12"/>
        <v>32136</v>
      </c>
    </row>
    <row r="12" spans="1:19">
      <c r="B12" s="2">
        <v>178445000</v>
      </c>
      <c r="C12" s="3">
        <f t="shared" si="4"/>
        <v>802000</v>
      </c>
      <c r="D12" s="2">
        <v>178172100</v>
      </c>
      <c r="E12" s="3">
        <f t="shared" si="5"/>
        <v>776000</v>
      </c>
      <c r="F12" s="3">
        <f>E12-E11</f>
        <v>-48000</v>
      </c>
      <c r="G12" s="3">
        <f t="shared" si="9"/>
        <v>-3</v>
      </c>
      <c r="H12" s="3">
        <f t="shared" si="0"/>
        <v>272900</v>
      </c>
      <c r="I12" s="3">
        <f>H12-H11</f>
        <v>26000</v>
      </c>
      <c r="J12" s="1">
        <v>2816</v>
      </c>
      <c r="K12" s="3">
        <f t="shared" si="10"/>
        <v>8448</v>
      </c>
      <c r="L12" s="3">
        <f t="shared" si="6"/>
        <v>0.5</v>
      </c>
      <c r="M12" s="3">
        <f t="shared" si="1"/>
        <v>256</v>
      </c>
      <c r="N12" s="3">
        <f t="shared" si="7"/>
        <v>0.0625</v>
      </c>
      <c r="O12" s="3">
        <f t="shared" si="2"/>
        <v>178172116</v>
      </c>
      <c r="P12" s="3">
        <f t="shared" si="3"/>
        <v>272884</v>
      </c>
      <c r="Q12" s="3">
        <f t="shared" si="8"/>
        <v>26022</v>
      </c>
      <c r="R12" s="3">
        <f t="shared" si="11"/>
        <v>775978</v>
      </c>
      <c r="S12" s="3">
        <f t="shared" si="12"/>
        <v>-48088</v>
      </c>
    </row>
    <row r="13" spans="1:19">
      <c r="B13" s="2">
        <v>179247000</v>
      </c>
      <c r="C13" s="3">
        <f t="shared" si="4"/>
        <v>802000</v>
      </c>
      <c r="D13" s="2">
        <v>178980100</v>
      </c>
      <c r="E13" s="3">
        <f t="shared" si="5"/>
        <v>808000</v>
      </c>
      <c r="F13" s="3">
        <f>E13-E12</f>
        <v>32000</v>
      </c>
      <c r="G13" s="3">
        <f t="shared" si="9"/>
        <v>1</v>
      </c>
      <c r="H13" s="3">
        <f t="shared" si="0"/>
        <v>266900</v>
      </c>
      <c r="I13" s="3">
        <f>H13-H12</f>
        <v>-6000</v>
      </c>
      <c r="J13" s="1">
        <v>0</v>
      </c>
      <c r="K13" s="3">
        <f t="shared" si="10"/>
        <v>-2816</v>
      </c>
      <c r="L13" s="3">
        <f t="shared" si="6"/>
        <v>0.5</v>
      </c>
      <c r="M13" s="3">
        <f t="shared" si="1"/>
        <v>544</v>
      </c>
      <c r="N13" s="3">
        <f t="shared" si="7"/>
        <v>0.0625</v>
      </c>
      <c r="O13" s="3">
        <f t="shared" si="2"/>
        <v>178980134</v>
      </c>
      <c r="P13" s="3">
        <f t="shared" si="3"/>
        <v>266866</v>
      </c>
      <c r="Q13" s="3">
        <f t="shared" si="8"/>
        <v>-6018</v>
      </c>
      <c r="R13" s="3">
        <f t="shared" si="11"/>
        <v>808018</v>
      </c>
      <c r="S13" s="3">
        <f t="shared" si="12"/>
        <v>32040</v>
      </c>
    </row>
    <row r="14" spans="1:19">
      <c r="B14" s="2">
        <v>180049000</v>
      </c>
      <c r="C14" s="3">
        <f t="shared" si="4"/>
        <v>802000</v>
      </c>
      <c r="D14" s="2">
        <v>179780100</v>
      </c>
      <c r="E14" s="3">
        <f t="shared" si="5"/>
        <v>800000</v>
      </c>
      <c r="F14" s="3">
        <f>E14-E13</f>
        <v>-8000</v>
      </c>
      <c r="G14" s="3">
        <f t="shared" si="9"/>
        <v>0</v>
      </c>
      <c r="H14" s="3">
        <f t="shared" si="0"/>
        <v>268900</v>
      </c>
      <c r="I14" s="3">
        <f>H14-H13</f>
        <v>2000</v>
      </c>
      <c r="J14" s="1">
        <v>2304</v>
      </c>
      <c r="K14" s="3">
        <f t="shared" si="10"/>
        <v>2304</v>
      </c>
      <c r="L14" s="3">
        <f t="shared" si="6"/>
        <v>0.5</v>
      </c>
      <c r="M14" s="3">
        <f t="shared" si="1"/>
        <v>-448</v>
      </c>
      <c r="N14" s="3">
        <f t="shared" si="7"/>
        <v>0.0625</v>
      </c>
      <c r="O14" s="3">
        <f t="shared" si="2"/>
        <v>179780072</v>
      </c>
      <c r="P14" s="3">
        <f t="shared" si="3"/>
        <v>268928</v>
      </c>
      <c r="Q14" s="3">
        <f t="shared" si="8"/>
        <v>2062</v>
      </c>
      <c r="R14" s="3">
        <f t="shared" si="11"/>
        <v>799938</v>
      </c>
      <c r="S14" s="3">
        <f t="shared" si="12"/>
        <v>-8080</v>
      </c>
    </row>
    <row r="15" spans="1:19">
      <c r="B15" s="2">
        <v>180851000</v>
      </c>
      <c r="C15" s="3">
        <f t="shared" si="4"/>
        <v>802000</v>
      </c>
      <c r="D15" s="2">
        <v>180604100</v>
      </c>
      <c r="E15" s="3">
        <f t="shared" si="5"/>
        <v>824000</v>
      </c>
      <c r="F15" s="3">
        <f>E15-E14</f>
        <v>24000</v>
      </c>
      <c r="G15" s="3">
        <f t="shared" si="9"/>
        <v>3</v>
      </c>
      <c r="H15" s="3">
        <f t="shared" si="0"/>
        <v>246900</v>
      </c>
      <c r="I15" s="3">
        <f>H15-H14</f>
        <v>-22000</v>
      </c>
      <c r="J15" s="1">
        <v>-5632</v>
      </c>
      <c r="K15" s="3">
        <f t="shared" si="10"/>
        <v>-7936</v>
      </c>
      <c r="L15" s="3">
        <f t="shared" si="6"/>
        <v>0.5</v>
      </c>
      <c r="M15" s="3">
        <f t="shared" si="1"/>
        <v>736</v>
      </c>
      <c r="N15" s="3">
        <f t="shared" si="7"/>
        <v>0.0625</v>
      </c>
      <c r="O15" s="3">
        <f t="shared" si="2"/>
        <v>180604146</v>
      </c>
      <c r="P15" s="3">
        <f t="shared" si="3"/>
        <v>246854</v>
      </c>
      <c r="Q15" s="3">
        <f t="shared" si="8"/>
        <v>-22074</v>
      </c>
      <c r="R15" s="3">
        <f t="shared" si="11"/>
        <v>824074</v>
      </c>
      <c r="S15" s="3">
        <f t="shared" si="12"/>
        <v>24136</v>
      </c>
    </row>
    <row r="16" spans="1:19">
      <c r="B16" s="2">
        <v>181653000</v>
      </c>
      <c r="C16" s="3">
        <f t="shared" si="4"/>
        <v>802000</v>
      </c>
      <c r="D16" s="2">
        <v>181380100</v>
      </c>
      <c r="E16" s="3">
        <f t="shared" si="5"/>
        <v>776000</v>
      </c>
      <c r="F16" s="3">
        <f>E16-E15</f>
        <v>-48000</v>
      </c>
      <c r="G16" s="3">
        <f t="shared" si="9"/>
        <v>-3</v>
      </c>
      <c r="H16" s="3">
        <f t="shared" si="0"/>
        <v>272900</v>
      </c>
      <c r="I16" s="3">
        <f>H16-H15</f>
        <v>26000</v>
      </c>
      <c r="J16" s="1">
        <v>3840</v>
      </c>
      <c r="K16" s="3">
        <f t="shared" si="10"/>
        <v>9472</v>
      </c>
      <c r="L16" s="3">
        <f t="shared" si="6"/>
        <v>0.5</v>
      </c>
      <c r="M16" s="3">
        <f t="shared" si="1"/>
        <v>0</v>
      </c>
      <c r="N16" s="3">
        <f t="shared" si="7"/>
        <v>0.0625</v>
      </c>
      <c r="O16" s="3">
        <f t="shared" si="2"/>
        <v>181380100</v>
      </c>
      <c r="P16" s="3">
        <f t="shared" si="3"/>
        <v>272900</v>
      </c>
      <c r="Q16" s="3">
        <f t="shared" si="8"/>
        <v>26046</v>
      </c>
      <c r="R16" s="3">
        <f t="shared" si="11"/>
        <v>775954</v>
      </c>
      <c r="S16" s="3">
        <f t="shared" si="12"/>
        <v>-48120</v>
      </c>
    </row>
    <row r="17" spans="2:19">
      <c r="B17" s="2">
        <v>182455000</v>
      </c>
      <c r="C17" s="3">
        <f t="shared" si="4"/>
        <v>802000</v>
      </c>
      <c r="D17" s="2">
        <v>182196100</v>
      </c>
      <c r="E17" s="3">
        <f t="shared" si="5"/>
        <v>816000</v>
      </c>
      <c r="F17" s="3">
        <f>E17-E16</f>
        <v>40000</v>
      </c>
      <c r="G17" s="3">
        <f t="shared" si="9"/>
        <v>2</v>
      </c>
      <c r="H17" s="3">
        <f t="shared" si="0"/>
        <v>258900</v>
      </c>
      <c r="I17" s="3">
        <f>H17-H16</f>
        <v>-14000</v>
      </c>
      <c r="J17" s="1">
        <v>-2048</v>
      </c>
      <c r="K17" s="3">
        <f t="shared" si="10"/>
        <v>-5888</v>
      </c>
      <c r="L17" s="3">
        <f t="shared" si="6"/>
        <v>0.5</v>
      </c>
      <c r="M17" s="3">
        <f t="shared" si="1"/>
        <v>672</v>
      </c>
      <c r="N17" s="3">
        <f t="shared" si="7"/>
        <v>0.0625</v>
      </c>
      <c r="O17" s="3">
        <f t="shared" si="2"/>
        <v>182196142</v>
      </c>
      <c r="P17" s="3">
        <f t="shared" si="3"/>
        <v>258858</v>
      </c>
      <c r="Q17" s="3">
        <f t="shared" si="8"/>
        <v>-14042</v>
      </c>
      <c r="R17" s="3">
        <f t="shared" si="11"/>
        <v>816042</v>
      </c>
      <c r="S17" s="3">
        <f t="shared" si="12"/>
        <v>40088</v>
      </c>
    </row>
    <row r="18" spans="2:19">
      <c r="B18" s="2">
        <v>183257000</v>
      </c>
      <c r="C18" s="3">
        <f t="shared" si="4"/>
        <v>802000</v>
      </c>
      <c r="D18" s="2">
        <v>182988100</v>
      </c>
      <c r="E18" s="3">
        <f t="shared" si="5"/>
        <v>792000</v>
      </c>
      <c r="F18" s="3">
        <f>E18-E17</f>
        <v>-24000</v>
      </c>
      <c r="G18" s="3">
        <f t="shared" si="9"/>
        <v>-1</v>
      </c>
      <c r="H18" s="3">
        <f t="shared" si="0"/>
        <v>268900</v>
      </c>
      <c r="I18" s="3">
        <f>H18-H17</f>
        <v>10000</v>
      </c>
      <c r="J18" s="1">
        <v>3328</v>
      </c>
      <c r="K18" s="3">
        <f t="shared" si="10"/>
        <v>5376</v>
      </c>
      <c r="L18" s="3">
        <f t="shared" si="6"/>
        <v>0.5</v>
      </c>
      <c r="M18" s="3">
        <f t="shared" si="1"/>
        <v>-448</v>
      </c>
      <c r="N18" s="3">
        <f t="shared" si="7"/>
        <v>0.0625</v>
      </c>
      <c r="O18" s="3">
        <f t="shared" si="2"/>
        <v>182988072</v>
      </c>
      <c r="P18" s="3">
        <f t="shared" si="3"/>
        <v>268928</v>
      </c>
      <c r="Q18" s="3">
        <f t="shared" si="8"/>
        <v>10070</v>
      </c>
      <c r="R18" s="3">
        <f t="shared" si="11"/>
        <v>791930</v>
      </c>
      <c r="S18" s="3">
        <f t="shared" si="12"/>
        <v>-24112</v>
      </c>
    </row>
    <row r="19" spans="2:19">
      <c r="B19" s="2">
        <v>184059000</v>
      </c>
      <c r="C19" s="3">
        <f t="shared" si="4"/>
        <v>802000</v>
      </c>
      <c r="D19" s="2">
        <v>183812100</v>
      </c>
      <c r="E19" s="3">
        <f t="shared" si="5"/>
        <v>824000</v>
      </c>
      <c r="F19" s="3">
        <f>E19-E18</f>
        <v>32000</v>
      </c>
      <c r="G19" s="3">
        <f t="shared" si="9"/>
        <v>3</v>
      </c>
      <c r="H19" s="3">
        <f t="shared" si="0"/>
        <v>246900</v>
      </c>
      <c r="I19" s="3">
        <f>H19-H18</f>
        <v>-22000</v>
      </c>
      <c r="J19" s="1">
        <v>-5632</v>
      </c>
      <c r="K19" s="3">
        <f t="shared" si="10"/>
        <v>-8960</v>
      </c>
      <c r="L19" s="3">
        <f t="shared" si="6"/>
        <v>0.5</v>
      </c>
      <c r="M19" s="3">
        <f t="shared" si="1"/>
        <v>608</v>
      </c>
      <c r="N19" s="3">
        <f t="shared" si="7"/>
        <v>0.0625</v>
      </c>
      <c r="O19" s="3">
        <f t="shared" si="2"/>
        <v>183812138</v>
      </c>
      <c r="P19" s="3">
        <f t="shared" si="3"/>
        <v>246862</v>
      </c>
      <c r="Q19" s="3">
        <f t="shared" si="8"/>
        <v>-22066</v>
      </c>
      <c r="R19" s="3">
        <f t="shared" si="11"/>
        <v>824066</v>
      </c>
      <c r="S19" s="3">
        <f t="shared" si="12"/>
        <v>32136</v>
      </c>
    </row>
    <row r="20" spans="2:19">
      <c r="B20" s="2">
        <v>184861000</v>
      </c>
      <c r="C20" s="3">
        <f t="shared" si="4"/>
        <v>802000</v>
      </c>
      <c r="D20" s="2">
        <v>184588100</v>
      </c>
      <c r="E20" s="3">
        <f t="shared" si="5"/>
        <v>776000</v>
      </c>
      <c r="F20" s="3">
        <f>E20-E19</f>
        <v>-48000</v>
      </c>
      <c r="G20" s="3">
        <f t="shared" si="9"/>
        <v>-3</v>
      </c>
      <c r="H20" s="3">
        <f t="shared" si="0"/>
        <v>272900</v>
      </c>
      <c r="I20" s="3">
        <f>H20-H19</f>
        <v>26000</v>
      </c>
      <c r="J20" s="1">
        <v>2816</v>
      </c>
      <c r="K20" s="3">
        <f t="shared" si="10"/>
        <v>8448</v>
      </c>
      <c r="L20" s="3">
        <f t="shared" si="6"/>
        <v>0.5</v>
      </c>
      <c r="M20" s="3">
        <f t="shared" si="1"/>
        <v>256</v>
      </c>
      <c r="N20" s="3">
        <f t="shared" si="7"/>
        <v>0.0625</v>
      </c>
      <c r="O20" s="3">
        <f t="shared" si="2"/>
        <v>184588116</v>
      </c>
      <c r="P20" s="3">
        <f t="shared" si="3"/>
        <v>272884</v>
      </c>
      <c r="Q20" s="3">
        <f t="shared" si="8"/>
        <v>26022</v>
      </c>
      <c r="R20" s="3">
        <f t="shared" si="11"/>
        <v>775978</v>
      </c>
      <c r="S20" s="3">
        <f t="shared" si="12"/>
        <v>-48088</v>
      </c>
    </row>
    <row r="21" spans="2:19">
      <c r="B21" s="2">
        <v>185663000</v>
      </c>
      <c r="C21" s="3">
        <f t="shared" si="4"/>
        <v>802000</v>
      </c>
      <c r="D21" s="2">
        <v>185396100</v>
      </c>
      <c r="E21" s="3">
        <f t="shared" si="5"/>
        <v>808000</v>
      </c>
      <c r="F21" s="3">
        <f>E21-E20</f>
        <v>32000</v>
      </c>
      <c r="G21" s="3">
        <f t="shared" si="9"/>
        <v>1</v>
      </c>
      <c r="H21" s="3">
        <f t="shared" si="0"/>
        <v>266900</v>
      </c>
      <c r="I21" s="3">
        <f>H21-H20</f>
        <v>-6000</v>
      </c>
      <c r="J21" s="1">
        <v>0</v>
      </c>
      <c r="K21" s="3">
        <f t="shared" si="10"/>
        <v>-2816</v>
      </c>
      <c r="L21" s="3">
        <f t="shared" si="6"/>
        <v>0.5</v>
      </c>
      <c r="M21" s="3">
        <f t="shared" si="1"/>
        <v>544</v>
      </c>
      <c r="N21" s="3">
        <f t="shared" si="7"/>
        <v>0.0625</v>
      </c>
      <c r="O21" s="3">
        <f t="shared" si="2"/>
        <v>185396134</v>
      </c>
      <c r="P21" s="3">
        <f t="shared" si="3"/>
        <v>266866</v>
      </c>
      <c r="Q21" s="3">
        <f t="shared" si="8"/>
        <v>-6018</v>
      </c>
      <c r="R21" s="3">
        <f t="shared" si="11"/>
        <v>808018</v>
      </c>
      <c r="S21" s="3">
        <f t="shared" si="12"/>
        <v>32040</v>
      </c>
    </row>
    <row r="22" spans="2:19">
      <c r="B22" s="2">
        <v>186465000</v>
      </c>
      <c r="C22" s="3">
        <f t="shared" si="4"/>
        <v>802000</v>
      </c>
      <c r="D22" s="2">
        <v>186196100</v>
      </c>
      <c r="E22" s="3">
        <f t="shared" si="5"/>
        <v>800000</v>
      </c>
      <c r="F22" s="3">
        <f>E22-E21</f>
        <v>-8000</v>
      </c>
      <c r="G22" s="3">
        <f t="shared" si="9"/>
        <v>0</v>
      </c>
      <c r="H22" s="3">
        <f t="shared" si="0"/>
        <v>268900</v>
      </c>
      <c r="I22" s="3">
        <f>H22-H21</f>
        <v>2000</v>
      </c>
      <c r="J22" s="1">
        <v>2304</v>
      </c>
      <c r="K22" s="3">
        <f t="shared" si="10"/>
        <v>2304</v>
      </c>
      <c r="L22" s="3">
        <f t="shared" si="6"/>
        <v>0.5</v>
      </c>
      <c r="M22" s="3">
        <f t="shared" si="1"/>
        <v>-448</v>
      </c>
      <c r="N22" s="3">
        <f t="shared" si="7"/>
        <v>0.0625</v>
      </c>
      <c r="O22" s="3">
        <f t="shared" si="2"/>
        <v>186196072</v>
      </c>
      <c r="P22" s="3">
        <f t="shared" si="3"/>
        <v>268928</v>
      </c>
      <c r="Q22" s="3">
        <f t="shared" si="8"/>
        <v>2062</v>
      </c>
      <c r="R22" s="3">
        <f t="shared" si="11"/>
        <v>799938</v>
      </c>
      <c r="S22" s="3">
        <f t="shared" si="12"/>
        <v>-8080</v>
      </c>
    </row>
    <row r="23" spans="2:19">
      <c r="B23" s="2">
        <v>187267000</v>
      </c>
      <c r="C23" s="3">
        <f t="shared" ref="C23:C68" si="13">B23-B22</f>
        <v>802000</v>
      </c>
      <c r="D23" s="2">
        <v>187020100</v>
      </c>
      <c r="E23" s="3">
        <f t="shared" ref="E23:E68" si="14">-D22+D23</f>
        <v>824000</v>
      </c>
      <c r="F23" s="3">
        <f t="shared" ref="F23:F68" si="15">E23-E22</f>
        <v>24000</v>
      </c>
      <c r="G23" s="3">
        <f t="shared" si="9"/>
        <v>3</v>
      </c>
      <c r="H23" s="3">
        <f t="shared" ref="H23:H68" si="16">B23-D23</f>
        <v>246900</v>
      </c>
      <c r="I23" s="3">
        <f t="shared" ref="I23:I68" si="17">H23-H22</f>
        <v>-22000</v>
      </c>
      <c r="J23" s="1">
        <v>-5632</v>
      </c>
      <c r="K23" s="3">
        <f t="shared" si="10"/>
        <v>-7936</v>
      </c>
      <c r="L23" s="3">
        <f t="shared" ref="L23:L68" si="18">L22</f>
        <v>0.5</v>
      </c>
      <c r="M23" s="3">
        <f t="shared" ref="M23:M68" si="19">(J24/4)*L23+256</f>
        <v>736</v>
      </c>
      <c r="N23" s="3">
        <f t="shared" ref="N23:N68" si="20">N22</f>
        <v>0.0625</v>
      </c>
      <c r="O23" s="3">
        <f t="shared" ref="O23:O68" si="21">D23+M23*N23</f>
        <v>187020146</v>
      </c>
      <c r="P23" s="3">
        <f t="shared" ref="P23:P68" si="22">B23-O23</f>
        <v>246854</v>
      </c>
      <c r="Q23" s="3">
        <f t="shared" ref="Q23:Q68" si="23">P23-P22</f>
        <v>-22074</v>
      </c>
      <c r="R23" s="3">
        <f t="shared" ref="R23:R68" si="24">O23-O22</f>
        <v>824074</v>
      </c>
      <c r="S23" s="3">
        <f t="shared" ref="S23:S68" si="25">R23-R22</f>
        <v>24136</v>
      </c>
    </row>
    <row r="24" spans="2:19">
      <c r="B24" s="2">
        <v>188069000</v>
      </c>
      <c r="C24" s="3">
        <f t="shared" si="13"/>
        <v>802000</v>
      </c>
      <c r="D24" s="2">
        <v>187796100</v>
      </c>
      <c r="E24" s="3">
        <f t="shared" si="14"/>
        <v>776000</v>
      </c>
      <c r="F24" s="3">
        <f t="shared" si="15"/>
        <v>-48000</v>
      </c>
      <c r="G24" s="3">
        <f t="shared" si="9"/>
        <v>-3</v>
      </c>
      <c r="H24" s="3">
        <f t="shared" si="16"/>
        <v>272900</v>
      </c>
      <c r="I24" s="3">
        <f t="shared" si="17"/>
        <v>26000</v>
      </c>
      <c r="J24" s="1">
        <v>3840</v>
      </c>
      <c r="K24" s="3">
        <f t="shared" si="10"/>
        <v>9472</v>
      </c>
      <c r="L24" s="3">
        <f t="shared" si="18"/>
        <v>0.5</v>
      </c>
      <c r="M24" s="3">
        <f t="shared" si="19"/>
        <v>0</v>
      </c>
      <c r="N24" s="3">
        <f t="shared" si="20"/>
        <v>0.0625</v>
      </c>
      <c r="O24" s="3">
        <f t="shared" si="21"/>
        <v>187796100</v>
      </c>
      <c r="P24" s="3">
        <f t="shared" si="22"/>
        <v>272900</v>
      </c>
      <c r="Q24" s="3">
        <f t="shared" si="23"/>
        <v>26046</v>
      </c>
      <c r="R24" s="3">
        <f t="shared" si="24"/>
        <v>775954</v>
      </c>
      <c r="S24" s="3">
        <f t="shared" si="25"/>
        <v>-48120</v>
      </c>
    </row>
    <row r="25" spans="2:19">
      <c r="B25" s="2">
        <v>188871000</v>
      </c>
      <c r="C25" s="3">
        <f t="shared" si="13"/>
        <v>802000</v>
      </c>
      <c r="D25" s="2">
        <v>188612100</v>
      </c>
      <c r="E25" s="3">
        <f t="shared" si="14"/>
        <v>816000</v>
      </c>
      <c r="F25" s="3">
        <f t="shared" si="15"/>
        <v>40000</v>
      </c>
      <c r="G25" s="3">
        <f t="shared" si="9"/>
        <v>2</v>
      </c>
      <c r="H25" s="3">
        <f t="shared" si="16"/>
        <v>258900</v>
      </c>
      <c r="I25" s="3">
        <f t="shared" si="17"/>
        <v>-14000</v>
      </c>
      <c r="J25" s="1">
        <v>-2048</v>
      </c>
      <c r="K25" s="3">
        <f t="shared" si="10"/>
        <v>-5888</v>
      </c>
      <c r="L25" s="3">
        <f t="shared" si="18"/>
        <v>0.5</v>
      </c>
      <c r="M25" s="3">
        <f t="shared" si="19"/>
        <v>672</v>
      </c>
      <c r="N25" s="3">
        <f t="shared" si="20"/>
        <v>0.0625</v>
      </c>
      <c r="O25" s="3">
        <f t="shared" si="21"/>
        <v>188612142</v>
      </c>
      <c r="P25" s="3">
        <f t="shared" si="22"/>
        <v>258858</v>
      </c>
      <c r="Q25" s="3">
        <f t="shared" si="23"/>
        <v>-14042</v>
      </c>
      <c r="R25" s="3">
        <f t="shared" si="24"/>
        <v>816042</v>
      </c>
      <c r="S25" s="3">
        <f t="shared" si="25"/>
        <v>40088</v>
      </c>
    </row>
    <row r="26" spans="2:19">
      <c r="B26" s="2">
        <v>189673000</v>
      </c>
      <c r="C26" s="3">
        <f t="shared" si="13"/>
        <v>802000</v>
      </c>
      <c r="D26" s="2">
        <v>189404100</v>
      </c>
      <c r="E26" s="3">
        <f t="shared" si="14"/>
        <v>792000</v>
      </c>
      <c r="F26" s="3">
        <f t="shared" si="15"/>
        <v>-24000</v>
      </c>
      <c r="G26" s="3">
        <f t="shared" si="9"/>
        <v>-1</v>
      </c>
      <c r="H26" s="3">
        <f t="shared" si="16"/>
        <v>268900</v>
      </c>
      <c r="I26" s="3">
        <f t="shared" si="17"/>
        <v>10000</v>
      </c>
      <c r="J26" s="1">
        <v>3328</v>
      </c>
      <c r="K26" s="3">
        <f t="shared" si="10"/>
        <v>5376</v>
      </c>
      <c r="L26" s="3">
        <f t="shared" si="18"/>
        <v>0.5</v>
      </c>
      <c r="M26" s="3">
        <f t="shared" si="19"/>
        <v>-448</v>
      </c>
      <c r="N26" s="3">
        <f t="shared" si="20"/>
        <v>0.0625</v>
      </c>
      <c r="O26" s="3">
        <f t="shared" si="21"/>
        <v>189404072</v>
      </c>
      <c r="P26" s="3">
        <f t="shared" si="22"/>
        <v>268928</v>
      </c>
      <c r="Q26" s="3">
        <f t="shared" si="23"/>
        <v>10070</v>
      </c>
      <c r="R26" s="3">
        <f t="shared" si="24"/>
        <v>791930</v>
      </c>
      <c r="S26" s="3">
        <f t="shared" si="25"/>
        <v>-24112</v>
      </c>
    </row>
    <row r="27" spans="2:19">
      <c r="B27" s="2">
        <v>190475000</v>
      </c>
      <c r="C27" s="3">
        <f t="shared" si="13"/>
        <v>802000</v>
      </c>
      <c r="D27" s="2">
        <v>190228100</v>
      </c>
      <c r="E27" s="3">
        <f t="shared" si="14"/>
        <v>824000</v>
      </c>
      <c r="F27" s="3">
        <f t="shared" si="15"/>
        <v>32000</v>
      </c>
      <c r="G27" s="3">
        <f t="shared" si="9"/>
        <v>3</v>
      </c>
      <c r="H27" s="3">
        <f t="shared" si="16"/>
        <v>246900</v>
      </c>
      <c r="I27" s="3">
        <f t="shared" si="17"/>
        <v>-22000</v>
      </c>
      <c r="J27" s="1">
        <v>-5632</v>
      </c>
      <c r="K27" s="3">
        <f t="shared" si="10"/>
        <v>-8960</v>
      </c>
      <c r="L27" s="3">
        <f t="shared" si="18"/>
        <v>0.5</v>
      </c>
      <c r="M27" s="3">
        <f t="shared" si="19"/>
        <v>608</v>
      </c>
      <c r="N27" s="3">
        <f t="shared" si="20"/>
        <v>0.0625</v>
      </c>
      <c r="O27" s="3">
        <f t="shared" si="21"/>
        <v>190228138</v>
      </c>
      <c r="P27" s="3">
        <f t="shared" si="22"/>
        <v>246862</v>
      </c>
      <c r="Q27" s="3">
        <f t="shared" si="23"/>
        <v>-22066</v>
      </c>
      <c r="R27" s="3">
        <f t="shared" si="24"/>
        <v>824066</v>
      </c>
      <c r="S27" s="3">
        <f t="shared" si="25"/>
        <v>32136</v>
      </c>
    </row>
    <row r="28" spans="2:19">
      <c r="B28" s="2">
        <v>191277000</v>
      </c>
      <c r="C28" s="3">
        <f t="shared" si="13"/>
        <v>802000</v>
      </c>
      <c r="D28" s="2">
        <v>191004100</v>
      </c>
      <c r="E28" s="3">
        <f t="shared" si="14"/>
        <v>776000</v>
      </c>
      <c r="F28" s="3">
        <f t="shared" si="15"/>
        <v>-48000</v>
      </c>
      <c r="G28" s="3">
        <f t="shared" si="9"/>
        <v>-3</v>
      </c>
      <c r="H28" s="3">
        <f t="shared" si="16"/>
        <v>272900</v>
      </c>
      <c r="I28" s="3">
        <f t="shared" si="17"/>
        <v>26000</v>
      </c>
      <c r="J28" s="1">
        <v>2816</v>
      </c>
      <c r="K28" s="3">
        <f t="shared" si="10"/>
        <v>8448</v>
      </c>
      <c r="L28" s="3">
        <f t="shared" si="18"/>
        <v>0.5</v>
      </c>
      <c r="M28" s="3">
        <f t="shared" si="19"/>
        <v>256</v>
      </c>
      <c r="N28" s="3">
        <f t="shared" si="20"/>
        <v>0.0625</v>
      </c>
      <c r="O28" s="3">
        <f t="shared" si="21"/>
        <v>191004116</v>
      </c>
      <c r="P28" s="3">
        <f t="shared" si="22"/>
        <v>272884</v>
      </c>
      <c r="Q28" s="3">
        <f t="shared" si="23"/>
        <v>26022</v>
      </c>
      <c r="R28" s="3">
        <f t="shared" si="24"/>
        <v>775978</v>
      </c>
      <c r="S28" s="3">
        <f t="shared" si="25"/>
        <v>-48088</v>
      </c>
    </row>
    <row r="29" spans="2:19">
      <c r="B29" s="2">
        <v>192079000</v>
      </c>
      <c r="C29" s="3">
        <f t="shared" si="13"/>
        <v>802000</v>
      </c>
      <c r="D29" s="2">
        <v>191812100</v>
      </c>
      <c r="E29" s="3">
        <f t="shared" si="14"/>
        <v>808000</v>
      </c>
      <c r="F29" s="3">
        <f t="shared" si="15"/>
        <v>32000</v>
      </c>
      <c r="G29" s="3">
        <f t="shared" si="9"/>
        <v>1</v>
      </c>
      <c r="H29" s="3">
        <f t="shared" si="16"/>
        <v>266900</v>
      </c>
      <c r="I29" s="3">
        <f t="shared" si="17"/>
        <v>-6000</v>
      </c>
      <c r="J29" s="1">
        <v>0</v>
      </c>
      <c r="K29" s="3">
        <f t="shared" si="10"/>
        <v>-2816</v>
      </c>
      <c r="L29" s="3">
        <f t="shared" si="18"/>
        <v>0.5</v>
      </c>
      <c r="M29" s="3">
        <f t="shared" si="19"/>
        <v>544</v>
      </c>
      <c r="N29" s="3">
        <f t="shared" si="20"/>
        <v>0.0625</v>
      </c>
      <c r="O29" s="3">
        <f t="shared" si="21"/>
        <v>191812134</v>
      </c>
      <c r="P29" s="3">
        <f t="shared" si="22"/>
        <v>266866</v>
      </c>
      <c r="Q29" s="3">
        <f t="shared" si="23"/>
        <v>-6018</v>
      </c>
      <c r="R29" s="3">
        <f t="shared" si="24"/>
        <v>808018</v>
      </c>
      <c r="S29" s="3">
        <f t="shared" si="25"/>
        <v>32040</v>
      </c>
    </row>
    <row r="30" spans="2:19">
      <c r="B30" s="2">
        <v>192881000</v>
      </c>
      <c r="C30" s="3">
        <f t="shared" si="13"/>
        <v>802000</v>
      </c>
      <c r="D30" s="2">
        <v>192612100</v>
      </c>
      <c r="E30" s="3">
        <f t="shared" si="14"/>
        <v>800000</v>
      </c>
      <c r="F30" s="3">
        <f t="shared" si="15"/>
        <v>-8000</v>
      </c>
      <c r="G30" s="3">
        <f t="shared" si="9"/>
        <v>0</v>
      </c>
      <c r="H30" s="3">
        <f t="shared" si="16"/>
        <v>268900</v>
      </c>
      <c r="I30" s="3">
        <f t="shared" si="17"/>
        <v>2000</v>
      </c>
      <c r="J30" s="1">
        <v>2304</v>
      </c>
      <c r="K30" s="3">
        <f t="shared" si="10"/>
        <v>2304</v>
      </c>
      <c r="L30" s="3">
        <f t="shared" si="18"/>
        <v>0.5</v>
      </c>
      <c r="M30" s="3">
        <f t="shared" si="19"/>
        <v>-448</v>
      </c>
      <c r="N30" s="3">
        <f t="shared" si="20"/>
        <v>0.0625</v>
      </c>
      <c r="O30" s="3">
        <f t="shared" si="21"/>
        <v>192612072</v>
      </c>
      <c r="P30" s="3">
        <f t="shared" si="22"/>
        <v>268928</v>
      </c>
      <c r="Q30" s="3">
        <f t="shared" si="23"/>
        <v>2062</v>
      </c>
      <c r="R30" s="3">
        <f t="shared" si="24"/>
        <v>799938</v>
      </c>
      <c r="S30" s="3">
        <f t="shared" si="25"/>
        <v>-8080</v>
      </c>
    </row>
    <row r="31" spans="2:19">
      <c r="B31" s="2">
        <v>193683000</v>
      </c>
      <c r="C31" s="3">
        <f t="shared" si="13"/>
        <v>802000</v>
      </c>
      <c r="D31" s="2">
        <v>193436100</v>
      </c>
      <c r="E31" s="3">
        <f t="shared" si="14"/>
        <v>824000</v>
      </c>
      <c r="F31" s="3">
        <f t="shared" si="15"/>
        <v>24000</v>
      </c>
      <c r="G31" s="3">
        <f t="shared" si="9"/>
        <v>3</v>
      </c>
      <c r="H31" s="3">
        <f t="shared" si="16"/>
        <v>246900</v>
      </c>
      <c r="I31" s="3">
        <f t="shared" si="17"/>
        <v>-22000</v>
      </c>
      <c r="J31" s="1">
        <v>-5632</v>
      </c>
      <c r="K31" s="3">
        <f t="shared" si="10"/>
        <v>-7936</v>
      </c>
      <c r="L31" s="3">
        <f t="shared" si="18"/>
        <v>0.5</v>
      </c>
      <c r="M31" s="3">
        <f t="shared" si="19"/>
        <v>736</v>
      </c>
      <c r="N31" s="3">
        <f t="shared" si="20"/>
        <v>0.0625</v>
      </c>
      <c r="O31" s="3">
        <f t="shared" si="21"/>
        <v>193436146</v>
      </c>
      <c r="P31" s="3">
        <f t="shared" si="22"/>
        <v>246854</v>
      </c>
      <c r="Q31" s="3">
        <f t="shared" si="23"/>
        <v>-22074</v>
      </c>
      <c r="R31" s="3">
        <f t="shared" si="24"/>
        <v>824074</v>
      </c>
      <c r="S31" s="3">
        <f t="shared" si="25"/>
        <v>24136</v>
      </c>
    </row>
    <row r="32" spans="2:19">
      <c r="B32" s="2">
        <v>194485000</v>
      </c>
      <c r="C32" s="3">
        <f t="shared" si="13"/>
        <v>802000</v>
      </c>
      <c r="D32" s="2">
        <v>194212100</v>
      </c>
      <c r="E32" s="3">
        <f t="shared" si="14"/>
        <v>776000</v>
      </c>
      <c r="F32" s="3">
        <f t="shared" si="15"/>
        <v>-48000</v>
      </c>
      <c r="G32" s="3">
        <f t="shared" si="9"/>
        <v>-3</v>
      </c>
      <c r="H32" s="3">
        <f t="shared" si="16"/>
        <v>272900</v>
      </c>
      <c r="I32" s="3">
        <f t="shared" si="17"/>
        <v>26000</v>
      </c>
      <c r="J32" s="1">
        <v>3840</v>
      </c>
      <c r="K32" s="3">
        <f t="shared" si="10"/>
        <v>9472</v>
      </c>
      <c r="L32" s="3">
        <f t="shared" si="18"/>
        <v>0.5</v>
      </c>
      <c r="M32" s="3">
        <f t="shared" si="19"/>
        <v>0</v>
      </c>
      <c r="N32" s="3">
        <f t="shared" si="20"/>
        <v>0.0625</v>
      </c>
      <c r="O32" s="3">
        <f t="shared" si="21"/>
        <v>194212100</v>
      </c>
      <c r="P32" s="3">
        <f t="shared" si="22"/>
        <v>272900</v>
      </c>
      <c r="Q32" s="3">
        <f t="shared" si="23"/>
        <v>26046</v>
      </c>
      <c r="R32" s="3">
        <f t="shared" si="24"/>
        <v>775954</v>
      </c>
      <c r="S32" s="3">
        <f t="shared" si="25"/>
        <v>-48120</v>
      </c>
    </row>
    <row r="33" spans="2:19">
      <c r="B33" s="2">
        <v>195287000</v>
      </c>
      <c r="C33" s="3">
        <f t="shared" si="13"/>
        <v>802000</v>
      </c>
      <c r="D33" s="2">
        <v>195028100</v>
      </c>
      <c r="E33" s="3">
        <f t="shared" si="14"/>
        <v>816000</v>
      </c>
      <c r="F33" s="3">
        <f t="shared" si="15"/>
        <v>40000</v>
      </c>
      <c r="G33" s="3">
        <f t="shared" si="9"/>
        <v>2</v>
      </c>
      <c r="H33" s="3">
        <f t="shared" si="16"/>
        <v>258900</v>
      </c>
      <c r="I33" s="3">
        <f t="shared" si="17"/>
        <v>-14000</v>
      </c>
      <c r="J33" s="1">
        <v>-2048</v>
      </c>
      <c r="K33" s="3">
        <f t="shared" si="10"/>
        <v>-5888</v>
      </c>
      <c r="L33" s="3">
        <f t="shared" si="18"/>
        <v>0.5</v>
      </c>
      <c r="M33" s="3">
        <f t="shared" si="19"/>
        <v>672</v>
      </c>
      <c r="N33" s="3">
        <f t="shared" si="20"/>
        <v>0.0625</v>
      </c>
      <c r="O33" s="3">
        <f t="shared" si="21"/>
        <v>195028142</v>
      </c>
      <c r="P33" s="3">
        <f t="shared" si="22"/>
        <v>258858</v>
      </c>
      <c r="Q33" s="3">
        <f t="shared" si="23"/>
        <v>-14042</v>
      </c>
      <c r="R33" s="3">
        <f t="shared" si="24"/>
        <v>816042</v>
      </c>
      <c r="S33" s="3">
        <f t="shared" si="25"/>
        <v>40088</v>
      </c>
    </row>
    <row r="34" spans="2:19">
      <c r="B34" s="2">
        <v>196089000</v>
      </c>
      <c r="C34" s="3">
        <f t="shared" si="13"/>
        <v>802000</v>
      </c>
      <c r="D34" s="2">
        <v>195820100</v>
      </c>
      <c r="E34" s="3">
        <f t="shared" si="14"/>
        <v>792000</v>
      </c>
      <c r="F34" s="3">
        <f t="shared" si="15"/>
        <v>-24000</v>
      </c>
      <c r="G34" s="3">
        <f t="shared" si="9"/>
        <v>-1</v>
      </c>
      <c r="H34" s="3">
        <f t="shared" si="16"/>
        <v>268900</v>
      </c>
      <c r="I34" s="3">
        <f t="shared" si="17"/>
        <v>10000</v>
      </c>
      <c r="J34" s="1">
        <v>3328</v>
      </c>
      <c r="K34" s="3">
        <f t="shared" si="10"/>
        <v>5376</v>
      </c>
      <c r="L34" s="3">
        <f t="shared" si="18"/>
        <v>0.5</v>
      </c>
      <c r="M34" s="3">
        <f t="shared" si="19"/>
        <v>-448</v>
      </c>
      <c r="N34" s="3">
        <f t="shared" si="20"/>
        <v>0.0625</v>
      </c>
      <c r="O34" s="3">
        <f t="shared" si="21"/>
        <v>195820072</v>
      </c>
      <c r="P34" s="3">
        <f t="shared" si="22"/>
        <v>268928</v>
      </c>
      <c r="Q34" s="3">
        <f t="shared" si="23"/>
        <v>10070</v>
      </c>
      <c r="R34" s="3">
        <f t="shared" si="24"/>
        <v>791930</v>
      </c>
      <c r="S34" s="3">
        <f t="shared" si="25"/>
        <v>-24112</v>
      </c>
    </row>
    <row r="35" spans="2:19">
      <c r="B35" s="2">
        <v>196891000</v>
      </c>
      <c r="C35" s="3">
        <f t="shared" si="13"/>
        <v>802000</v>
      </c>
      <c r="D35" s="2">
        <v>196644100</v>
      </c>
      <c r="E35" s="3">
        <f t="shared" si="14"/>
        <v>824000</v>
      </c>
      <c r="F35" s="3">
        <f t="shared" si="15"/>
        <v>32000</v>
      </c>
      <c r="G35" s="3">
        <f t="shared" si="9"/>
        <v>3</v>
      </c>
      <c r="H35" s="3">
        <f t="shared" si="16"/>
        <v>246900</v>
      </c>
      <c r="I35" s="3">
        <f t="shared" si="17"/>
        <v>-22000</v>
      </c>
      <c r="J35" s="1">
        <v>-5632</v>
      </c>
      <c r="K35" s="3">
        <f t="shared" si="10"/>
        <v>-8960</v>
      </c>
      <c r="L35" s="3">
        <f t="shared" si="18"/>
        <v>0.5</v>
      </c>
      <c r="M35" s="3">
        <f t="shared" si="19"/>
        <v>608</v>
      </c>
      <c r="N35" s="3">
        <f t="shared" si="20"/>
        <v>0.0625</v>
      </c>
      <c r="O35" s="3">
        <f t="shared" si="21"/>
        <v>196644138</v>
      </c>
      <c r="P35" s="3">
        <f t="shared" si="22"/>
        <v>246862</v>
      </c>
      <c r="Q35" s="3">
        <f t="shared" si="23"/>
        <v>-22066</v>
      </c>
      <c r="R35" s="3">
        <f t="shared" si="24"/>
        <v>824066</v>
      </c>
      <c r="S35" s="3">
        <f t="shared" si="25"/>
        <v>32136</v>
      </c>
    </row>
    <row r="36" spans="2:19">
      <c r="B36" s="2">
        <v>197693000</v>
      </c>
      <c r="C36" s="3">
        <f t="shared" si="13"/>
        <v>802000</v>
      </c>
      <c r="D36" s="2">
        <v>197420100</v>
      </c>
      <c r="E36" s="3">
        <f t="shared" si="14"/>
        <v>776000</v>
      </c>
      <c r="F36" s="3">
        <f t="shared" si="15"/>
        <v>-48000</v>
      </c>
      <c r="G36" s="3">
        <f t="shared" ref="G36:G67" si="26">E36/8000-100</f>
        <v>-3</v>
      </c>
      <c r="H36" s="3">
        <f t="shared" si="16"/>
        <v>272900</v>
      </c>
      <c r="I36" s="3">
        <f t="shared" si="17"/>
        <v>26000</v>
      </c>
      <c r="J36" s="1">
        <v>2816</v>
      </c>
      <c r="K36" s="3">
        <f t="shared" ref="K36:K67" si="27">J36-J35</f>
        <v>8448</v>
      </c>
      <c r="L36" s="3">
        <f t="shared" si="18"/>
        <v>0.5</v>
      </c>
      <c r="M36" s="3">
        <f t="shared" si="19"/>
        <v>256</v>
      </c>
      <c r="N36" s="3">
        <f t="shared" si="20"/>
        <v>0.0625</v>
      </c>
      <c r="O36" s="3">
        <f t="shared" si="21"/>
        <v>197420116</v>
      </c>
      <c r="P36" s="3">
        <f t="shared" si="22"/>
        <v>272884</v>
      </c>
      <c r="Q36" s="3">
        <f t="shared" si="23"/>
        <v>26022</v>
      </c>
      <c r="R36" s="3">
        <f t="shared" si="24"/>
        <v>775978</v>
      </c>
      <c r="S36" s="3">
        <f t="shared" si="25"/>
        <v>-48088</v>
      </c>
    </row>
    <row r="37" spans="2:19">
      <c r="B37" s="2">
        <v>198495000</v>
      </c>
      <c r="C37" s="3">
        <f t="shared" si="13"/>
        <v>802000</v>
      </c>
      <c r="D37" s="2">
        <v>198228100</v>
      </c>
      <c r="E37" s="3">
        <f t="shared" si="14"/>
        <v>808000</v>
      </c>
      <c r="F37" s="3">
        <f t="shared" si="15"/>
        <v>32000</v>
      </c>
      <c r="G37" s="3">
        <f t="shared" si="26"/>
        <v>1</v>
      </c>
      <c r="H37" s="3">
        <f t="shared" si="16"/>
        <v>266900</v>
      </c>
      <c r="I37" s="3">
        <f t="shared" si="17"/>
        <v>-6000</v>
      </c>
      <c r="J37" s="1">
        <v>0</v>
      </c>
      <c r="K37" s="3">
        <f t="shared" si="27"/>
        <v>-2816</v>
      </c>
      <c r="L37" s="3">
        <f t="shared" si="18"/>
        <v>0.5</v>
      </c>
      <c r="M37" s="3">
        <f t="shared" si="19"/>
        <v>544</v>
      </c>
      <c r="N37" s="3">
        <f t="shared" si="20"/>
        <v>0.0625</v>
      </c>
      <c r="O37" s="3">
        <f t="shared" si="21"/>
        <v>198228134</v>
      </c>
      <c r="P37" s="3">
        <f t="shared" si="22"/>
        <v>266866</v>
      </c>
      <c r="Q37" s="3">
        <f t="shared" si="23"/>
        <v>-6018</v>
      </c>
      <c r="R37" s="3">
        <f t="shared" si="24"/>
        <v>808018</v>
      </c>
      <c r="S37" s="3">
        <f t="shared" si="25"/>
        <v>32040</v>
      </c>
    </row>
    <row r="38" spans="2:19">
      <c r="B38" s="2">
        <v>199297000</v>
      </c>
      <c r="C38" s="3">
        <f t="shared" si="13"/>
        <v>802000</v>
      </c>
      <c r="D38" s="2">
        <v>199028100</v>
      </c>
      <c r="E38" s="3">
        <f t="shared" si="14"/>
        <v>800000</v>
      </c>
      <c r="F38" s="3">
        <f t="shared" si="15"/>
        <v>-8000</v>
      </c>
      <c r="G38" s="3">
        <f t="shared" si="26"/>
        <v>0</v>
      </c>
      <c r="H38" s="3">
        <f t="shared" si="16"/>
        <v>268900</v>
      </c>
      <c r="I38" s="3">
        <f t="shared" si="17"/>
        <v>2000</v>
      </c>
      <c r="J38" s="1">
        <v>2304</v>
      </c>
      <c r="K38" s="3">
        <f t="shared" si="27"/>
        <v>2304</v>
      </c>
      <c r="L38" s="3">
        <f t="shared" si="18"/>
        <v>0.5</v>
      </c>
      <c r="M38" s="3">
        <f t="shared" si="19"/>
        <v>-448</v>
      </c>
      <c r="N38" s="3">
        <f t="shared" si="20"/>
        <v>0.0625</v>
      </c>
      <c r="O38" s="3">
        <f t="shared" si="21"/>
        <v>199028072</v>
      </c>
      <c r="P38" s="3">
        <f t="shared" si="22"/>
        <v>268928</v>
      </c>
      <c r="Q38" s="3">
        <f t="shared" si="23"/>
        <v>2062</v>
      </c>
      <c r="R38" s="3">
        <f t="shared" si="24"/>
        <v>799938</v>
      </c>
      <c r="S38" s="3">
        <f t="shared" si="25"/>
        <v>-8080</v>
      </c>
    </row>
    <row r="39" spans="2:19">
      <c r="B39" s="2">
        <v>200099000</v>
      </c>
      <c r="C39" s="3">
        <f t="shared" si="13"/>
        <v>802000</v>
      </c>
      <c r="D39" s="2">
        <v>199852100</v>
      </c>
      <c r="E39" s="3">
        <f t="shared" si="14"/>
        <v>824000</v>
      </c>
      <c r="F39" s="3">
        <f t="shared" si="15"/>
        <v>24000</v>
      </c>
      <c r="G39" s="3">
        <f t="shared" si="26"/>
        <v>3</v>
      </c>
      <c r="H39" s="3">
        <f t="shared" si="16"/>
        <v>246900</v>
      </c>
      <c r="I39" s="3">
        <f t="shared" si="17"/>
        <v>-22000</v>
      </c>
      <c r="J39" s="1">
        <v>-5632</v>
      </c>
      <c r="K39" s="3">
        <f t="shared" si="27"/>
        <v>-7936</v>
      </c>
      <c r="L39" s="3">
        <f t="shared" si="18"/>
        <v>0.5</v>
      </c>
      <c r="M39" s="3">
        <f t="shared" si="19"/>
        <v>736</v>
      </c>
      <c r="N39" s="3">
        <f t="shared" si="20"/>
        <v>0.0625</v>
      </c>
      <c r="O39" s="3">
        <f t="shared" si="21"/>
        <v>199852146</v>
      </c>
      <c r="P39" s="3">
        <f t="shared" si="22"/>
        <v>246854</v>
      </c>
      <c r="Q39" s="3">
        <f t="shared" si="23"/>
        <v>-22074</v>
      </c>
      <c r="R39" s="3">
        <f t="shared" si="24"/>
        <v>824074</v>
      </c>
      <c r="S39" s="3">
        <f t="shared" si="25"/>
        <v>24136</v>
      </c>
    </row>
    <row r="40" spans="2:19">
      <c r="B40" s="2">
        <v>200901000</v>
      </c>
      <c r="C40" s="3">
        <f t="shared" si="13"/>
        <v>802000</v>
      </c>
      <c r="D40" s="2">
        <v>200628100</v>
      </c>
      <c r="E40" s="3">
        <f t="shared" si="14"/>
        <v>776000</v>
      </c>
      <c r="F40" s="3">
        <f t="shared" si="15"/>
        <v>-48000</v>
      </c>
      <c r="G40" s="3">
        <f t="shared" si="26"/>
        <v>-3</v>
      </c>
      <c r="H40" s="3">
        <f t="shared" si="16"/>
        <v>272900</v>
      </c>
      <c r="I40" s="3">
        <f t="shared" si="17"/>
        <v>26000</v>
      </c>
      <c r="J40" s="1">
        <v>3840</v>
      </c>
      <c r="K40" s="3">
        <f t="shared" si="27"/>
        <v>9472</v>
      </c>
      <c r="L40" s="3">
        <f t="shared" si="18"/>
        <v>0.5</v>
      </c>
      <c r="M40" s="3">
        <f t="shared" si="19"/>
        <v>0</v>
      </c>
      <c r="N40" s="3">
        <f t="shared" si="20"/>
        <v>0.0625</v>
      </c>
      <c r="O40" s="3">
        <f t="shared" si="21"/>
        <v>200628100</v>
      </c>
      <c r="P40" s="3">
        <f t="shared" si="22"/>
        <v>272900</v>
      </c>
      <c r="Q40" s="3">
        <f t="shared" si="23"/>
        <v>26046</v>
      </c>
      <c r="R40" s="3">
        <f t="shared" si="24"/>
        <v>775954</v>
      </c>
      <c r="S40" s="3">
        <f t="shared" si="25"/>
        <v>-48120</v>
      </c>
    </row>
    <row r="41" spans="2:19">
      <c r="B41" s="2">
        <v>201703000</v>
      </c>
      <c r="C41" s="3">
        <f t="shared" si="13"/>
        <v>802000</v>
      </c>
      <c r="D41" s="2">
        <v>201444100</v>
      </c>
      <c r="E41" s="3">
        <f t="shared" si="14"/>
        <v>816000</v>
      </c>
      <c r="F41" s="3">
        <f t="shared" si="15"/>
        <v>40000</v>
      </c>
      <c r="G41" s="3">
        <f t="shared" si="26"/>
        <v>2</v>
      </c>
      <c r="H41" s="3">
        <f t="shared" si="16"/>
        <v>258900</v>
      </c>
      <c r="I41" s="3">
        <f t="shared" si="17"/>
        <v>-14000</v>
      </c>
      <c r="J41" s="1">
        <v>-2048</v>
      </c>
      <c r="K41" s="3">
        <f t="shared" si="27"/>
        <v>-5888</v>
      </c>
      <c r="L41" s="3">
        <f t="shared" si="18"/>
        <v>0.5</v>
      </c>
      <c r="M41" s="3">
        <f t="shared" si="19"/>
        <v>672</v>
      </c>
      <c r="N41" s="3">
        <f t="shared" si="20"/>
        <v>0.0625</v>
      </c>
      <c r="O41" s="3">
        <f t="shared" si="21"/>
        <v>201444142</v>
      </c>
      <c r="P41" s="3">
        <f t="shared" si="22"/>
        <v>258858</v>
      </c>
      <c r="Q41" s="3">
        <f t="shared" si="23"/>
        <v>-14042</v>
      </c>
      <c r="R41" s="3">
        <f t="shared" si="24"/>
        <v>816042</v>
      </c>
      <c r="S41" s="3">
        <f t="shared" si="25"/>
        <v>40088</v>
      </c>
    </row>
    <row r="42" spans="2:19">
      <c r="B42" s="2">
        <v>202505000</v>
      </c>
      <c r="C42" s="3">
        <f t="shared" si="13"/>
        <v>802000</v>
      </c>
      <c r="D42" s="2">
        <v>202236100</v>
      </c>
      <c r="E42" s="3">
        <f t="shared" si="14"/>
        <v>792000</v>
      </c>
      <c r="F42" s="3">
        <f t="shared" si="15"/>
        <v>-24000</v>
      </c>
      <c r="G42" s="3">
        <f t="shared" si="26"/>
        <v>-1</v>
      </c>
      <c r="H42" s="3">
        <f t="shared" si="16"/>
        <v>268900</v>
      </c>
      <c r="I42" s="3">
        <f t="shared" si="17"/>
        <v>10000</v>
      </c>
      <c r="J42" s="1">
        <v>3328</v>
      </c>
      <c r="K42" s="3">
        <f t="shared" si="27"/>
        <v>5376</v>
      </c>
      <c r="L42" s="3">
        <f t="shared" si="18"/>
        <v>0.5</v>
      </c>
      <c r="M42" s="3">
        <f t="shared" si="19"/>
        <v>-448</v>
      </c>
      <c r="N42" s="3">
        <f t="shared" si="20"/>
        <v>0.0625</v>
      </c>
      <c r="O42" s="3">
        <f t="shared" si="21"/>
        <v>202236072</v>
      </c>
      <c r="P42" s="3">
        <f t="shared" si="22"/>
        <v>268928</v>
      </c>
      <c r="Q42" s="3">
        <f t="shared" si="23"/>
        <v>10070</v>
      </c>
      <c r="R42" s="3">
        <f t="shared" si="24"/>
        <v>791930</v>
      </c>
      <c r="S42" s="3">
        <f t="shared" si="25"/>
        <v>-24112</v>
      </c>
    </row>
    <row r="43" spans="2:19">
      <c r="B43" s="2">
        <v>203307000</v>
      </c>
      <c r="C43" s="3">
        <f t="shared" si="13"/>
        <v>802000</v>
      </c>
      <c r="D43" s="2">
        <v>203060100</v>
      </c>
      <c r="E43" s="3">
        <f t="shared" si="14"/>
        <v>824000</v>
      </c>
      <c r="F43" s="3">
        <f t="shared" si="15"/>
        <v>32000</v>
      </c>
      <c r="G43" s="3">
        <f t="shared" si="26"/>
        <v>3</v>
      </c>
      <c r="H43" s="3">
        <f t="shared" si="16"/>
        <v>246900</v>
      </c>
      <c r="I43" s="3">
        <f t="shared" si="17"/>
        <v>-22000</v>
      </c>
      <c r="J43" s="1">
        <v>-5632</v>
      </c>
      <c r="K43" s="3">
        <f t="shared" si="27"/>
        <v>-8960</v>
      </c>
      <c r="L43" s="3">
        <f t="shared" si="18"/>
        <v>0.5</v>
      </c>
      <c r="M43" s="3">
        <f t="shared" si="19"/>
        <v>608</v>
      </c>
      <c r="N43" s="3">
        <f t="shared" si="20"/>
        <v>0.0625</v>
      </c>
      <c r="O43" s="3">
        <f t="shared" si="21"/>
        <v>203060138</v>
      </c>
      <c r="P43" s="3">
        <f t="shared" si="22"/>
        <v>246862</v>
      </c>
      <c r="Q43" s="3">
        <f t="shared" si="23"/>
        <v>-22066</v>
      </c>
      <c r="R43" s="3">
        <f t="shared" si="24"/>
        <v>824066</v>
      </c>
      <c r="S43" s="3">
        <f t="shared" si="25"/>
        <v>32136</v>
      </c>
    </row>
    <row r="44" spans="2:19">
      <c r="B44" s="2">
        <v>204109000</v>
      </c>
      <c r="C44" s="3">
        <f t="shared" si="13"/>
        <v>802000</v>
      </c>
      <c r="D44" s="2">
        <v>203836100</v>
      </c>
      <c r="E44" s="3">
        <f t="shared" si="14"/>
        <v>776000</v>
      </c>
      <c r="F44" s="3">
        <f t="shared" si="15"/>
        <v>-48000</v>
      </c>
      <c r="G44" s="3">
        <f t="shared" si="26"/>
        <v>-3</v>
      </c>
      <c r="H44" s="3">
        <f t="shared" si="16"/>
        <v>272900</v>
      </c>
      <c r="I44" s="3">
        <f t="shared" si="17"/>
        <v>26000</v>
      </c>
      <c r="J44" s="1">
        <v>2816</v>
      </c>
      <c r="K44" s="3">
        <f t="shared" si="27"/>
        <v>8448</v>
      </c>
      <c r="L44" s="3">
        <f t="shared" si="18"/>
        <v>0.5</v>
      </c>
      <c r="M44" s="3">
        <f t="shared" si="19"/>
        <v>256</v>
      </c>
      <c r="N44" s="3">
        <f t="shared" si="20"/>
        <v>0.0625</v>
      </c>
      <c r="O44" s="3">
        <f t="shared" si="21"/>
        <v>203836116</v>
      </c>
      <c r="P44" s="3">
        <f t="shared" si="22"/>
        <v>272884</v>
      </c>
      <c r="Q44" s="3">
        <f t="shared" si="23"/>
        <v>26022</v>
      </c>
      <c r="R44" s="3">
        <f t="shared" si="24"/>
        <v>775978</v>
      </c>
      <c r="S44" s="3">
        <f t="shared" si="25"/>
        <v>-48088</v>
      </c>
    </row>
    <row r="45" spans="2:19">
      <c r="B45" s="2">
        <v>204911000</v>
      </c>
      <c r="C45" s="3">
        <f t="shared" si="13"/>
        <v>802000</v>
      </c>
      <c r="D45" s="2">
        <v>204644100</v>
      </c>
      <c r="E45" s="3">
        <f t="shared" si="14"/>
        <v>808000</v>
      </c>
      <c r="F45" s="3">
        <f t="shared" si="15"/>
        <v>32000</v>
      </c>
      <c r="G45" s="3">
        <f t="shared" si="26"/>
        <v>1</v>
      </c>
      <c r="H45" s="3">
        <f t="shared" si="16"/>
        <v>266900</v>
      </c>
      <c r="I45" s="3">
        <f t="shared" si="17"/>
        <v>-6000</v>
      </c>
      <c r="J45" s="1">
        <v>0</v>
      </c>
      <c r="K45" s="3">
        <f t="shared" si="27"/>
        <v>-2816</v>
      </c>
      <c r="L45" s="3">
        <f t="shared" si="18"/>
        <v>0.5</v>
      </c>
      <c r="M45" s="3">
        <f t="shared" si="19"/>
        <v>544</v>
      </c>
      <c r="N45" s="3">
        <f t="shared" si="20"/>
        <v>0.0625</v>
      </c>
      <c r="O45" s="3">
        <f t="shared" si="21"/>
        <v>204644134</v>
      </c>
      <c r="P45" s="3">
        <f t="shared" si="22"/>
        <v>266866</v>
      </c>
      <c r="Q45" s="3">
        <f t="shared" si="23"/>
        <v>-6018</v>
      </c>
      <c r="R45" s="3">
        <f t="shared" si="24"/>
        <v>808018</v>
      </c>
      <c r="S45" s="3">
        <f t="shared" si="25"/>
        <v>32040</v>
      </c>
    </row>
    <row r="46" spans="2:19">
      <c r="B46" s="2">
        <v>205713000</v>
      </c>
      <c r="C46" s="3">
        <f t="shared" si="13"/>
        <v>802000</v>
      </c>
      <c r="D46" s="2">
        <v>205444100</v>
      </c>
      <c r="E46" s="3">
        <f t="shared" si="14"/>
        <v>800000</v>
      </c>
      <c r="F46" s="3">
        <f t="shared" si="15"/>
        <v>-8000</v>
      </c>
      <c r="G46" s="3">
        <f t="shared" si="26"/>
        <v>0</v>
      </c>
      <c r="H46" s="3">
        <f t="shared" si="16"/>
        <v>268900</v>
      </c>
      <c r="I46" s="3">
        <f t="shared" si="17"/>
        <v>2000</v>
      </c>
      <c r="J46" s="1">
        <v>2304</v>
      </c>
      <c r="K46" s="3">
        <f t="shared" si="27"/>
        <v>2304</v>
      </c>
      <c r="L46" s="3">
        <f t="shared" si="18"/>
        <v>0.5</v>
      </c>
      <c r="M46" s="3">
        <f t="shared" si="19"/>
        <v>-448</v>
      </c>
      <c r="N46" s="3">
        <f t="shared" si="20"/>
        <v>0.0625</v>
      </c>
      <c r="O46" s="3">
        <f t="shared" si="21"/>
        <v>205444072</v>
      </c>
      <c r="P46" s="3">
        <f t="shared" si="22"/>
        <v>268928</v>
      </c>
      <c r="Q46" s="3">
        <f t="shared" si="23"/>
        <v>2062</v>
      </c>
      <c r="R46" s="3">
        <f t="shared" si="24"/>
        <v>799938</v>
      </c>
      <c r="S46" s="3">
        <f t="shared" si="25"/>
        <v>-8080</v>
      </c>
    </row>
    <row r="47" spans="2:19">
      <c r="B47" s="2">
        <v>206515000</v>
      </c>
      <c r="C47" s="3">
        <f t="shared" si="13"/>
        <v>802000</v>
      </c>
      <c r="D47" s="2">
        <v>206268100</v>
      </c>
      <c r="E47" s="3">
        <f t="shared" si="14"/>
        <v>824000</v>
      </c>
      <c r="F47" s="3">
        <f t="shared" si="15"/>
        <v>24000</v>
      </c>
      <c r="G47" s="3">
        <f t="shared" si="26"/>
        <v>3</v>
      </c>
      <c r="H47" s="3">
        <f t="shared" si="16"/>
        <v>246900</v>
      </c>
      <c r="I47" s="3">
        <f t="shared" si="17"/>
        <v>-22000</v>
      </c>
      <c r="J47" s="1">
        <v>-5632</v>
      </c>
      <c r="K47" s="3">
        <f t="shared" si="27"/>
        <v>-7936</v>
      </c>
      <c r="L47" s="3">
        <f t="shared" si="18"/>
        <v>0.5</v>
      </c>
      <c r="M47" s="3">
        <f t="shared" si="19"/>
        <v>736</v>
      </c>
      <c r="N47" s="3">
        <f t="shared" si="20"/>
        <v>0.0625</v>
      </c>
      <c r="O47" s="3">
        <f t="shared" si="21"/>
        <v>206268146</v>
      </c>
      <c r="P47" s="3">
        <f t="shared" si="22"/>
        <v>246854</v>
      </c>
      <c r="Q47" s="3">
        <f t="shared" si="23"/>
        <v>-22074</v>
      </c>
      <c r="R47" s="3">
        <f t="shared" si="24"/>
        <v>824074</v>
      </c>
      <c r="S47" s="3">
        <f t="shared" si="25"/>
        <v>24136</v>
      </c>
    </row>
    <row r="48" spans="2:19">
      <c r="B48" s="2">
        <v>207317000</v>
      </c>
      <c r="C48" s="3">
        <f t="shared" si="13"/>
        <v>802000</v>
      </c>
      <c r="D48" s="2">
        <v>207044100</v>
      </c>
      <c r="E48" s="3">
        <f t="shared" si="14"/>
        <v>776000</v>
      </c>
      <c r="F48" s="3">
        <f t="shared" si="15"/>
        <v>-48000</v>
      </c>
      <c r="G48" s="3">
        <f t="shared" si="26"/>
        <v>-3</v>
      </c>
      <c r="H48" s="3">
        <f t="shared" si="16"/>
        <v>272900</v>
      </c>
      <c r="I48" s="3">
        <f t="shared" si="17"/>
        <v>26000</v>
      </c>
      <c r="J48" s="1">
        <v>3840</v>
      </c>
      <c r="K48" s="3">
        <f t="shared" si="27"/>
        <v>9472</v>
      </c>
      <c r="L48" s="3">
        <f t="shared" si="18"/>
        <v>0.5</v>
      </c>
      <c r="M48" s="3">
        <f t="shared" si="19"/>
        <v>0</v>
      </c>
      <c r="N48" s="3">
        <f t="shared" si="20"/>
        <v>0.0625</v>
      </c>
      <c r="O48" s="3">
        <f t="shared" si="21"/>
        <v>207044100</v>
      </c>
      <c r="P48" s="3">
        <f t="shared" si="22"/>
        <v>272900</v>
      </c>
      <c r="Q48" s="3">
        <f t="shared" si="23"/>
        <v>26046</v>
      </c>
      <c r="R48" s="3">
        <f t="shared" si="24"/>
        <v>775954</v>
      </c>
      <c r="S48" s="3">
        <f t="shared" si="25"/>
        <v>-48120</v>
      </c>
    </row>
    <row r="49" spans="2:19">
      <c r="B49" s="2">
        <v>208119000</v>
      </c>
      <c r="C49" s="3">
        <f t="shared" si="13"/>
        <v>802000</v>
      </c>
      <c r="D49" s="2">
        <v>207860100</v>
      </c>
      <c r="E49" s="3">
        <f t="shared" si="14"/>
        <v>816000</v>
      </c>
      <c r="F49" s="3">
        <f t="shared" si="15"/>
        <v>40000</v>
      </c>
      <c r="G49" s="3">
        <f t="shared" si="26"/>
        <v>2</v>
      </c>
      <c r="H49" s="3">
        <f t="shared" si="16"/>
        <v>258900</v>
      </c>
      <c r="I49" s="3">
        <f t="shared" si="17"/>
        <v>-14000</v>
      </c>
      <c r="J49" s="1">
        <v>-2048</v>
      </c>
      <c r="K49" s="3">
        <f t="shared" si="27"/>
        <v>-5888</v>
      </c>
      <c r="L49" s="3">
        <f t="shared" si="18"/>
        <v>0.5</v>
      </c>
      <c r="M49" s="3">
        <f t="shared" si="19"/>
        <v>672</v>
      </c>
      <c r="N49" s="3">
        <f t="shared" si="20"/>
        <v>0.0625</v>
      </c>
      <c r="O49" s="3">
        <f t="shared" si="21"/>
        <v>207860142</v>
      </c>
      <c r="P49" s="3">
        <f t="shared" si="22"/>
        <v>258858</v>
      </c>
      <c r="Q49" s="3">
        <f t="shared" si="23"/>
        <v>-14042</v>
      </c>
      <c r="R49" s="3">
        <f t="shared" si="24"/>
        <v>816042</v>
      </c>
      <c r="S49" s="3">
        <f t="shared" si="25"/>
        <v>40088</v>
      </c>
    </row>
    <row r="50" spans="2:19">
      <c r="B50" s="2">
        <v>208921000</v>
      </c>
      <c r="C50" s="3">
        <f t="shared" si="13"/>
        <v>802000</v>
      </c>
      <c r="D50" s="2">
        <v>208652100</v>
      </c>
      <c r="E50" s="3">
        <f t="shared" si="14"/>
        <v>792000</v>
      </c>
      <c r="F50" s="3">
        <f t="shared" si="15"/>
        <v>-24000</v>
      </c>
      <c r="G50" s="3">
        <f t="shared" si="26"/>
        <v>-1</v>
      </c>
      <c r="H50" s="3">
        <f t="shared" si="16"/>
        <v>268900</v>
      </c>
      <c r="I50" s="3">
        <f t="shared" si="17"/>
        <v>10000</v>
      </c>
      <c r="J50" s="1">
        <v>3328</v>
      </c>
      <c r="K50" s="3">
        <f t="shared" si="27"/>
        <v>5376</v>
      </c>
      <c r="L50" s="3">
        <f t="shared" si="18"/>
        <v>0.5</v>
      </c>
      <c r="M50" s="3">
        <f t="shared" si="19"/>
        <v>-448</v>
      </c>
      <c r="N50" s="3">
        <f t="shared" si="20"/>
        <v>0.0625</v>
      </c>
      <c r="O50" s="3">
        <f t="shared" si="21"/>
        <v>208652072</v>
      </c>
      <c r="P50" s="3">
        <f t="shared" si="22"/>
        <v>268928</v>
      </c>
      <c r="Q50" s="3">
        <f t="shared" si="23"/>
        <v>10070</v>
      </c>
      <c r="R50" s="3">
        <f t="shared" si="24"/>
        <v>791930</v>
      </c>
      <c r="S50" s="3">
        <f t="shared" si="25"/>
        <v>-24112</v>
      </c>
    </row>
    <row r="51" spans="2:19">
      <c r="B51" s="2">
        <v>209723000</v>
      </c>
      <c r="C51" s="3">
        <f t="shared" si="13"/>
        <v>802000</v>
      </c>
      <c r="D51" s="2">
        <v>209476100</v>
      </c>
      <c r="E51" s="3">
        <f t="shared" si="14"/>
        <v>824000</v>
      </c>
      <c r="F51" s="3">
        <f t="shared" si="15"/>
        <v>32000</v>
      </c>
      <c r="G51" s="3">
        <f t="shared" si="26"/>
        <v>3</v>
      </c>
      <c r="H51" s="3">
        <f t="shared" si="16"/>
        <v>246900</v>
      </c>
      <c r="I51" s="3">
        <f t="shared" si="17"/>
        <v>-22000</v>
      </c>
      <c r="J51" s="1">
        <v>-5632</v>
      </c>
      <c r="K51" s="3">
        <f t="shared" si="27"/>
        <v>-8960</v>
      </c>
      <c r="L51" s="3">
        <f t="shared" si="18"/>
        <v>0.5</v>
      </c>
      <c r="M51" s="3">
        <f t="shared" si="19"/>
        <v>608</v>
      </c>
      <c r="N51" s="3">
        <f t="shared" si="20"/>
        <v>0.0625</v>
      </c>
      <c r="O51" s="3">
        <f t="shared" si="21"/>
        <v>209476138</v>
      </c>
      <c r="P51" s="3">
        <f t="shared" si="22"/>
        <v>246862</v>
      </c>
      <c r="Q51" s="3">
        <f t="shared" si="23"/>
        <v>-22066</v>
      </c>
      <c r="R51" s="3">
        <f t="shared" si="24"/>
        <v>824066</v>
      </c>
      <c r="S51" s="3">
        <f t="shared" si="25"/>
        <v>32136</v>
      </c>
    </row>
    <row r="52" spans="2:19">
      <c r="B52" s="2">
        <v>210525000</v>
      </c>
      <c r="C52" s="3">
        <f t="shared" si="13"/>
        <v>802000</v>
      </c>
      <c r="D52" s="2">
        <v>210252100</v>
      </c>
      <c r="E52" s="3">
        <f t="shared" si="14"/>
        <v>776000</v>
      </c>
      <c r="F52" s="3">
        <f t="shared" si="15"/>
        <v>-48000</v>
      </c>
      <c r="G52" s="3">
        <f t="shared" si="26"/>
        <v>-3</v>
      </c>
      <c r="H52" s="3">
        <f t="shared" si="16"/>
        <v>272900</v>
      </c>
      <c r="I52" s="3">
        <f t="shared" si="17"/>
        <v>26000</v>
      </c>
      <c r="J52" s="1">
        <v>2816</v>
      </c>
      <c r="K52" s="3">
        <f t="shared" si="27"/>
        <v>8448</v>
      </c>
      <c r="L52" s="3">
        <f t="shared" si="18"/>
        <v>0.5</v>
      </c>
      <c r="M52" s="3">
        <f t="shared" si="19"/>
        <v>256</v>
      </c>
      <c r="N52" s="3">
        <f t="shared" si="20"/>
        <v>0.0625</v>
      </c>
      <c r="O52" s="3">
        <f t="shared" si="21"/>
        <v>210252116</v>
      </c>
      <c r="P52" s="3">
        <f t="shared" si="22"/>
        <v>272884</v>
      </c>
      <c r="Q52" s="3">
        <f t="shared" si="23"/>
        <v>26022</v>
      </c>
      <c r="R52" s="3">
        <f t="shared" si="24"/>
        <v>775978</v>
      </c>
      <c r="S52" s="3">
        <f t="shared" si="25"/>
        <v>-48088</v>
      </c>
    </row>
    <row r="53" spans="2:19">
      <c r="B53" s="2">
        <v>211327000</v>
      </c>
      <c r="C53" s="3">
        <f t="shared" si="13"/>
        <v>802000</v>
      </c>
      <c r="D53" s="2">
        <v>211060100</v>
      </c>
      <c r="E53" s="3">
        <f t="shared" si="14"/>
        <v>808000</v>
      </c>
      <c r="F53" s="3">
        <f t="shared" si="15"/>
        <v>32000</v>
      </c>
      <c r="G53" s="3">
        <f t="shared" si="26"/>
        <v>1</v>
      </c>
      <c r="H53" s="3">
        <f t="shared" si="16"/>
        <v>266900</v>
      </c>
      <c r="I53" s="3">
        <f t="shared" si="17"/>
        <v>-6000</v>
      </c>
      <c r="J53" s="1">
        <v>0</v>
      </c>
      <c r="K53" s="3">
        <f t="shared" si="27"/>
        <v>-2816</v>
      </c>
      <c r="L53" s="3">
        <f t="shared" si="18"/>
        <v>0.5</v>
      </c>
      <c r="M53" s="3">
        <f t="shared" si="19"/>
        <v>544</v>
      </c>
      <c r="N53" s="3">
        <f t="shared" si="20"/>
        <v>0.0625</v>
      </c>
      <c r="O53" s="3">
        <f t="shared" si="21"/>
        <v>211060134</v>
      </c>
      <c r="P53" s="3">
        <f t="shared" si="22"/>
        <v>266866</v>
      </c>
      <c r="Q53" s="3">
        <f t="shared" si="23"/>
        <v>-6018</v>
      </c>
      <c r="R53" s="3">
        <f t="shared" si="24"/>
        <v>808018</v>
      </c>
      <c r="S53" s="3">
        <f t="shared" si="25"/>
        <v>32040</v>
      </c>
    </row>
    <row r="54" spans="2:19">
      <c r="B54" s="2">
        <v>212129000</v>
      </c>
      <c r="C54" s="3">
        <f t="shared" si="13"/>
        <v>802000</v>
      </c>
      <c r="D54" s="2">
        <v>211860100</v>
      </c>
      <c r="E54" s="3">
        <f t="shared" si="14"/>
        <v>800000</v>
      </c>
      <c r="F54" s="3">
        <f t="shared" si="15"/>
        <v>-8000</v>
      </c>
      <c r="G54" s="3">
        <f t="shared" si="26"/>
        <v>0</v>
      </c>
      <c r="H54" s="3">
        <f t="shared" si="16"/>
        <v>268900</v>
      </c>
      <c r="I54" s="3">
        <f t="shared" si="17"/>
        <v>2000</v>
      </c>
      <c r="J54" s="1">
        <v>2304</v>
      </c>
      <c r="K54" s="3">
        <f t="shared" si="27"/>
        <v>2304</v>
      </c>
      <c r="L54" s="3">
        <f t="shared" si="18"/>
        <v>0.5</v>
      </c>
      <c r="M54" s="3">
        <f t="shared" si="19"/>
        <v>-448</v>
      </c>
      <c r="N54" s="3">
        <f t="shared" si="20"/>
        <v>0.0625</v>
      </c>
      <c r="O54" s="3">
        <f t="shared" si="21"/>
        <v>211860072</v>
      </c>
      <c r="P54" s="3">
        <f t="shared" si="22"/>
        <v>268928</v>
      </c>
      <c r="Q54" s="3">
        <f t="shared" si="23"/>
        <v>2062</v>
      </c>
      <c r="R54" s="3">
        <f t="shared" si="24"/>
        <v>799938</v>
      </c>
      <c r="S54" s="3">
        <f t="shared" si="25"/>
        <v>-8080</v>
      </c>
    </row>
    <row r="55" spans="2:19">
      <c r="B55" s="2">
        <v>212931000</v>
      </c>
      <c r="C55" s="3">
        <f t="shared" si="13"/>
        <v>802000</v>
      </c>
      <c r="D55" s="2">
        <v>212684100</v>
      </c>
      <c r="E55" s="3">
        <f t="shared" si="14"/>
        <v>824000</v>
      </c>
      <c r="F55" s="3">
        <f t="shared" si="15"/>
        <v>24000</v>
      </c>
      <c r="G55" s="3">
        <f t="shared" si="26"/>
        <v>3</v>
      </c>
      <c r="H55" s="3">
        <f t="shared" si="16"/>
        <v>246900</v>
      </c>
      <c r="I55" s="3">
        <f t="shared" si="17"/>
        <v>-22000</v>
      </c>
      <c r="J55" s="1">
        <v>-5632</v>
      </c>
      <c r="K55" s="3">
        <f t="shared" si="27"/>
        <v>-7936</v>
      </c>
      <c r="L55" s="3">
        <f t="shared" si="18"/>
        <v>0.5</v>
      </c>
      <c r="M55" s="3">
        <f t="shared" si="19"/>
        <v>736</v>
      </c>
      <c r="N55" s="3">
        <f t="shared" si="20"/>
        <v>0.0625</v>
      </c>
      <c r="O55" s="3">
        <f t="shared" si="21"/>
        <v>212684146</v>
      </c>
      <c r="P55" s="3">
        <f t="shared" si="22"/>
        <v>246854</v>
      </c>
      <c r="Q55" s="3">
        <f t="shared" si="23"/>
        <v>-22074</v>
      </c>
      <c r="R55" s="3">
        <f t="shared" si="24"/>
        <v>824074</v>
      </c>
      <c r="S55" s="3">
        <f t="shared" si="25"/>
        <v>24136</v>
      </c>
    </row>
    <row r="56" spans="2:19">
      <c r="B56" s="2">
        <v>213733000</v>
      </c>
      <c r="C56" s="3">
        <f t="shared" si="13"/>
        <v>802000</v>
      </c>
      <c r="D56" s="2">
        <v>213460100</v>
      </c>
      <c r="E56" s="3">
        <f t="shared" si="14"/>
        <v>776000</v>
      </c>
      <c r="F56" s="3">
        <f t="shared" si="15"/>
        <v>-48000</v>
      </c>
      <c r="G56" s="3">
        <f t="shared" si="26"/>
        <v>-3</v>
      </c>
      <c r="H56" s="3">
        <f t="shared" si="16"/>
        <v>272900</v>
      </c>
      <c r="I56" s="3">
        <f t="shared" si="17"/>
        <v>26000</v>
      </c>
      <c r="J56" s="1">
        <v>3840</v>
      </c>
      <c r="K56" s="3">
        <f t="shared" si="27"/>
        <v>9472</v>
      </c>
      <c r="L56" s="3">
        <f t="shared" si="18"/>
        <v>0.5</v>
      </c>
      <c r="M56" s="3">
        <f t="shared" si="19"/>
        <v>0</v>
      </c>
      <c r="N56" s="3">
        <f t="shared" si="20"/>
        <v>0.0625</v>
      </c>
      <c r="O56" s="3">
        <f t="shared" si="21"/>
        <v>213460100</v>
      </c>
      <c r="P56" s="3">
        <f t="shared" si="22"/>
        <v>272900</v>
      </c>
      <c r="Q56" s="3">
        <f t="shared" si="23"/>
        <v>26046</v>
      </c>
      <c r="R56" s="3">
        <f t="shared" si="24"/>
        <v>775954</v>
      </c>
      <c r="S56" s="3">
        <f t="shared" si="25"/>
        <v>-48120</v>
      </c>
    </row>
    <row r="57" spans="2:19">
      <c r="B57" s="2">
        <v>214535000</v>
      </c>
      <c r="C57" s="3">
        <f t="shared" si="13"/>
        <v>802000</v>
      </c>
      <c r="D57" s="2">
        <v>214276100</v>
      </c>
      <c r="E57" s="3">
        <f t="shared" si="14"/>
        <v>816000</v>
      </c>
      <c r="F57" s="3">
        <f t="shared" si="15"/>
        <v>40000</v>
      </c>
      <c r="G57" s="3">
        <f t="shared" si="26"/>
        <v>2</v>
      </c>
      <c r="H57" s="3">
        <f t="shared" si="16"/>
        <v>258900</v>
      </c>
      <c r="I57" s="3">
        <f t="shared" si="17"/>
        <v>-14000</v>
      </c>
      <c r="J57" s="1">
        <v>-2048</v>
      </c>
      <c r="K57" s="3">
        <f t="shared" si="27"/>
        <v>-5888</v>
      </c>
      <c r="L57" s="3">
        <f t="shared" si="18"/>
        <v>0.5</v>
      </c>
      <c r="M57" s="3">
        <f t="shared" si="19"/>
        <v>672</v>
      </c>
      <c r="N57" s="3">
        <f t="shared" si="20"/>
        <v>0.0625</v>
      </c>
      <c r="O57" s="3">
        <f t="shared" si="21"/>
        <v>214276142</v>
      </c>
      <c r="P57" s="3">
        <f t="shared" si="22"/>
        <v>258858</v>
      </c>
      <c r="Q57" s="3">
        <f t="shared" si="23"/>
        <v>-14042</v>
      </c>
      <c r="R57" s="3">
        <f t="shared" si="24"/>
        <v>816042</v>
      </c>
      <c r="S57" s="3">
        <f t="shared" si="25"/>
        <v>40088</v>
      </c>
    </row>
    <row r="58" spans="2:19">
      <c r="B58" s="2">
        <v>215337000</v>
      </c>
      <c r="C58" s="3">
        <f t="shared" si="13"/>
        <v>802000</v>
      </c>
      <c r="D58" s="2">
        <v>215068100</v>
      </c>
      <c r="E58" s="3">
        <f t="shared" si="14"/>
        <v>792000</v>
      </c>
      <c r="F58" s="3">
        <f t="shared" si="15"/>
        <v>-24000</v>
      </c>
      <c r="G58" s="3">
        <f t="shared" si="26"/>
        <v>-1</v>
      </c>
      <c r="H58" s="3">
        <f t="shared" si="16"/>
        <v>268900</v>
      </c>
      <c r="I58" s="3">
        <f t="shared" si="17"/>
        <v>10000</v>
      </c>
      <c r="J58" s="1">
        <v>3328</v>
      </c>
      <c r="K58" s="3">
        <f t="shared" si="27"/>
        <v>5376</v>
      </c>
      <c r="L58" s="3">
        <f t="shared" si="18"/>
        <v>0.5</v>
      </c>
      <c r="M58" s="3">
        <f t="shared" si="19"/>
        <v>-448</v>
      </c>
      <c r="N58" s="3">
        <f t="shared" si="20"/>
        <v>0.0625</v>
      </c>
      <c r="O58" s="3">
        <f t="shared" si="21"/>
        <v>215068072</v>
      </c>
      <c r="P58" s="3">
        <f t="shared" si="22"/>
        <v>268928</v>
      </c>
      <c r="Q58" s="3">
        <f t="shared" si="23"/>
        <v>10070</v>
      </c>
      <c r="R58" s="3">
        <f t="shared" si="24"/>
        <v>791930</v>
      </c>
      <c r="S58" s="3">
        <f t="shared" si="25"/>
        <v>-24112</v>
      </c>
    </row>
    <row r="59" spans="2:19">
      <c r="B59" s="2">
        <v>216139000</v>
      </c>
      <c r="C59" s="3">
        <f t="shared" si="13"/>
        <v>802000</v>
      </c>
      <c r="D59" s="2">
        <v>215892100</v>
      </c>
      <c r="E59" s="3">
        <f t="shared" si="14"/>
        <v>824000</v>
      </c>
      <c r="F59" s="3">
        <f t="shared" si="15"/>
        <v>32000</v>
      </c>
      <c r="G59" s="3">
        <f t="shared" si="26"/>
        <v>3</v>
      </c>
      <c r="H59" s="3">
        <f t="shared" si="16"/>
        <v>246900</v>
      </c>
      <c r="I59" s="3">
        <f t="shared" si="17"/>
        <v>-22000</v>
      </c>
      <c r="J59" s="1">
        <v>-5632</v>
      </c>
      <c r="K59" s="3">
        <f t="shared" si="27"/>
        <v>-8960</v>
      </c>
      <c r="L59" s="3">
        <f t="shared" si="18"/>
        <v>0.5</v>
      </c>
      <c r="M59" s="3">
        <f t="shared" si="19"/>
        <v>608</v>
      </c>
      <c r="N59" s="3">
        <f t="shared" si="20"/>
        <v>0.0625</v>
      </c>
      <c r="O59" s="3">
        <f t="shared" si="21"/>
        <v>215892138</v>
      </c>
      <c r="P59" s="3">
        <f t="shared" si="22"/>
        <v>246862</v>
      </c>
      <c r="Q59" s="3">
        <f t="shared" si="23"/>
        <v>-22066</v>
      </c>
      <c r="R59" s="3">
        <f t="shared" si="24"/>
        <v>824066</v>
      </c>
      <c r="S59" s="3">
        <f t="shared" si="25"/>
        <v>32136</v>
      </c>
    </row>
    <row r="60" spans="2:19">
      <c r="B60" s="2">
        <v>216941000</v>
      </c>
      <c r="C60" s="3">
        <f t="shared" si="13"/>
        <v>802000</v>
      </c>
      <c r="D60" s="2">
        <v>216668100</v>
      </c>
      <c r="E60" s="3">
        <f t="shared" si="14"/>
        <v>776000</v>
      </c>
      <c r="F60" s="3">
        <f t="shared" si="15"/>
        <v>-48000</v>
      </c>
      <c r="G60" s="3">
        <f t="shared" si="26"/>
        <v>-3</v>
      </c>
      <c r="H60" s="3">
        <f t="shared" si="16"/>
        <v>272900</v>
      </c>
      <c r="I60" s="3">
        <f t="shared" si="17"/>
        <v>26000</v>
      </c>
      <c r="J60" s="1">
        <v>2816</v>
      </c>
      <c r="K60" s="3">
        <f t="shared" si="27"/>
        <v>8448</v>
      </c>
      <c r="L60" s="3">
        <f t="shared" si="18"/>
        <v>0.5</v>
      </c>
      <c r="M60" s="3">
        <f t="shared" si="19"/>
        <v>256</v>
      </c>
      <c r="N60" s="3">
        <f t="shared" si="20"/>
        <v>0.0625</v>
      </c>
      <c r="O60" s="3">
        <f t="shared" si="21"/>
        <v>216668116</v>
      </c>
      <c r="P60" s="3">
        <f t="shared" si="22"/>
        <v>272884</v>
      </c>
      <c r="Q60" s="3">
        <f t="shared" si="23"/>
        <v>26022</v>
      </c>
      <c r="R60" s="3">
        <f t="shared" si="24"/>
        <v>775978</v>
      </c>
      <c r="S60" s="3">
        <f t="shared" si="25"/>
        <v>-48088</v>
      </c>
    </row>
    <row r="61" spans="2:19">
      <c r="B61" s="2">
        <v>217743000</v>
      </c>
      <c r="C61" s="3">
        <f t="shared" si="13"/>
        <v>802000</v>
      </c>
      <c r="D61" s="2">
        <v>217476100</v>
      </c>
      <c r="E61" s="3">
        <f t="shared" si="14"/>
        <v>808000</v>
      </c>
      <c r="F61" s="3">
        <f t="shared" si="15"/>
        <v>32000</v>
      </c>
      <c r="G61" s="3">
        <f t="shared" si="26"/>
        <v>1</v>
      </c>
      <c r="H61" s="3">
        <f t="shared" si="16"/>
        <v>266900</v>
      </c>
      <c r="I61" s="3">
        <f t="shared" si="17"/>
        <v>-6000</v>
      </c>
      <c r="J61" s="1">
        <v>0</v>
      </c>
      <c r="K61" s="3">
        <f t="shared" si="27"/>
        <v>-2816</v>
      </c>
      <c r="L61" s="3">
        <f t="shared" si="18"/>
        <v>0.5</v>
      </c>
      <c r="M61" s="3">
        <f t="shared" si="19"/>
        <v>544</v>
      </c>
      <c r="N61" s="3">
        <f t="shared" si="20"/>
        <v>0.0625</v>
      </c>
      <c r="O61" s="3">
        <f t="shared" si="21"/>
        <v>217476134</v>
      </c>
      <c r="P61" s="3">
        <f t="shared" si="22"/>
        <v>266866</v>
      </c>
      <c r="Q61" s="3">
        <f t="shared" si="23"/>
        <v>-6018</v>
      </c>
      <c r="R61" s="3">
        <f t="shared" si="24"/>
        <v>808018</v>
      </c>
      <c r="S61" s="3">
        <f t="shared" si="25"/>
        <v>32040</v>
      </c>
    </row>
    <row r="62" spans="2:19">
      <c r="B62" s="2">
        <v>218545000</v>
      </c>
      <c r="C62" s="3">
        <f t="shared" si="13"/>
        <v>802000</v>
      </c>
      <c r="D62" s="2">
        <v>218276100</v>
      </c>
      <c r="E62" s="3">
        <f t="shared" si="14"/>
        <v>800000</v>
      </c>
      <c r="F62" s="3">
        <f t="shared" si="15"/>
        <v>-8000</v>
      </c>
      <c r="G62" s="3">
        <f t="shared" si="26"/>
        <v>0</v>
      </c>
      <c r="H62" s="3">
        <f t="shared" si="16"/>
        <v>268900</v>
      </c>
      <c r="I62" s="3">
        <f t="shared" si="17"/>
        <v>2000</v>
      </c>
      <c r="J62" s="1">
        <v>2304</v>
      </c>
      <c r="K62" s="3">
        <f t="shared" si="27"/>
        <v>2304</v>
      </c>
      <c r="L62" s="3">
        <f t="shared" si="18"/>
        <v>0.5</v>
      </c>
      <c r="M62" s="3">
        <f t="shared" si="19"/>
        <v>-448</v>
      </c>
      <c r="N62" s="3">
        <f t="shared" si="20"/>
        <v>0.0625</v>
      </c>
      <c r="O62" s="3">
        <f t="shared" si="21"/>
        <v>218276072</v>
      </c>
      <c r="P62" s="3">
        <f t="shared" si="22"/>
        <v>268928</v>
      </c>
      <c r="Q62" s="3">
        <f t="shared" si="23"/>
        <v>2062</v>
      </c>
      <c r="R62" s="3">
        <f t="shared" si="24"/>
        <v>799938</v>
      </c>
      <c r="S62" s="3">
        <f t="shared" si="25"/>
        <v>-8080</v>
      </c>
    </row>
    <row r="63" spans="2:19">
      <c r="B63" s="2">
        <v>219347000</v>
      </c>
      <c r="C63" s="3">
        <f t="shared" si="13"/>
        <v>802000</v>
      </c>
      <c r="D63" s="2">
        <v>219100100</v>
      </c>
      <c r="E63" s="3">
        <f t="shared" si="14"/>
        <v>824000</v>
      </c>
      <c r="F63" s="3">
        <f t="shared" si="15"/>
        <v>24000</v>
      </c>
      <c r="G63" s="3">
        <f t="shared" si="26"/>
        <v>3</v>
      </c>
      <c r="H63" s="3">
        <f t="shared" si="16"/>
        <v>246900</v>
      </c>
      <c r="I63" s="3">
        <f t="shared" si="17"/>
        <v>-22000</v>
      </c>
      <c r="J63" s="1">
        <v>-5632</v>
      </c>
      <c r="K63" s="3">
        <f t="shared" si="27"/>
        <v>-7936</v>
      </c>
      <c r="L63" s="3">
        <f t="shared" si="18"/>
        <v>0.5</v>
      </c>
      <c r="M63" s="3">
        <f t="shared" si="19"/>
        <v>736</v>
      </c>
      <c r="N63" s="3">
        <f t="shared" si="20"/>
        <v>0.0625</v>
      </c>
      <c r="O63" s="3">
        <f t="shared" si="21"/>
        <v>219100146</v>
      </c>
      <c r="P63" s="3">
        <f t="shared" si="22"/>
        <v>246854</v>
      </c>
      <c r="Q63" s="3">
        <f t="shared" si="23"/>
        <v>-22074</v>
      </c>
      <c r="R63" s="3">
        <f t="shared" si="24"/>
        <v>824074</v>
      </c>
      <c r="S63" s="3">
        <f t="shared" si="25"/>
        <v>24136</v>
      </c>
    </row>
    <row r="64" spans="2:19">
      <c r="B64" s="2">
        <v>220149000</v>
      </c>
      <c r="C64" s="3">
        <f t="shared" si="13"/>
        <v>802000</v>
      </c>
      <c r="D64" s="2">
        <v>219876100</v>
      </c>
      <c r="E64" s="3">
        <f t="shared" si="14"/>
        <v>776000</v>
      </c>
      <c r="F64" s="3">
        <f t="shared" si="15"/>
        <v>-48000</v>
      </c>
      <c r="G64" s="3">
        <f t="shared" si="26"/>
        <v>-3</v>
      </c>
      <c r="H64" s="3">
        <f t="shared" si="16"/>
        <v>272900</v>
      </c>
      <c r="I64" s="3">
        <f t="shared" si="17"/>
        <v>26000</v>
      </c>
      <c r="J64" s="1">
        <v>3840</v>
      </c>
      <c r="K64" s="3">
        <f t="shared" si="27"/>
        <v>9472</v>
      </c>
      <c r="L64" s="3">
        <f t="shared" si="18"/>
        <v>0.5</v>
      </c>
      <c r="M64" s="3">
        <f t="shared" si="19"/>
        <v>0</v>
      </c>
      <c r="N64" s="3">
        <f t="shared" si="20"/>
        <v>0.0625</v>
      </c>
      <c r="O64" s="3">
        <f t="shared" si="21"/>
        <v>219876100</v>
      </c>
      <c r="P64" s="3">
        <f t="shared" si="22"/>
        <v>272900</v>
      </c>
      <c r="Q64" s="3">
        <f t="shared" si="23"/>
        <v>26046</v>
      </c>
      <c r="R64" s="3">
        <f t="shared" si="24"/>
        <v>775954</v>
      </c>
      <c r="S64" s="3">
        <f t="shared" si="25"/>
        <v>-48120</v>
      </c>
    </row>
    <row r="65" spans="1:19">
      <c r="B65" s="2">
        <v>220951000</v>
      </c>
      <c r="C65" s="3">
        <f t="shared" si="13"/>
        <v>802000</v>
      </c>
      <c r="D65" s="2">
        <v>220692100</v>
      </c>
      <c r="E65" s="3">
        <f t="shared" si="14"/>
        <v>816000</v>
      </c>
      <c r="F65" s="3">
        <f t="shared" si="15"/>
        <v>40000</v>
      </c>
      <c r="G65" s="3">
        <f t="shared" si="26"/>
        <v>2</v>
      </c>
      <c r="H65" s="3">
        <f t="shared" si="16"/>
        <v>258900</v>
      </c>
      <c r="I65" s="3">
        <f t="shared" si="17"/>
        <v>-14000</v>
      </c>
      <c r="J65" s="1">
        <v>-2048</v>
      </c>
      <c r="K65" s="3">
        <f t="shared" si="27"/>
        <v>-5888</v>
      </c>
      <c r="L65" s="3">
        <f t="shared" si="18"/>
        <v>0.5</v>
      </c>
      <c r="M65" s="3">
        <f t="shared" si="19"/>
        <v>672</v>
      </c>
      <c r="N65" s="3">
        <f t="shared" si="20"/>
        <v>0.0625</v>
      </c>
      <c r="O65" s="3">
        <f t="shared" si="21"/>
        <v>220692142</v>
      </c>
      <c r="P65" s="3">
        <f t="shared" si="22"/>
        <v>258858</v>
      </c>
      <c r="Q65" s="3">
        <f t="shared" si="23"/>
        <v>-14042</v>
      </c>
      <c r="R65" s="3">
        <f t="shared" si="24"/>
        <v>816042</v>
      </c>
      <c r="S65" s="3">
        <f t="shared" si="25"/>
        <v>40088</v>
      </c>
    </row>
    <row r="66" spans="1:19">
      <c r="B66" s="2">
        <v>221753000</v>
      </c>
      <c r="C66" s="3">
        <f t="shared" si="13"/>
        <v>802000</v>
      </c>
      <c r="D66" s="2">
        <v>221484100</v>
      </c>
      <c r="E66" s="3">
        <f t="shared" si="14"/>
        <v>792000</v>
      </c>
      <c r="F66" s="3">
        <f t="shared" si="15"/>
        <v>-24000</v>
      </c>
      <c r="G66" s="3">
        <f t="shared" si="26"/>
        <v>-1</v>
      </c>
      <c r="H66" s="3">
        <f t="shared" si="16"/>
        <v>268900</v>
      </c>
      <c r="I66" s="3">
        <f t="shared" si="17"/>
        <v>10000</v>
      </c>
      <c r="J66" s="1">
        <v>3328</v>
      </c>
      <c r="K66" s="3">
        <f t="shared" si="27"/>
        <v>5376</v>
      </c>
      <c r="L66" s="3">
        <f t="shared" si="18"/>
        <v>0.5</v>
      </c>
      <c r="M66" s="3">
        <f t="shared" si="19"/>
        <v>-448</v>
      </c>
      <c r="N66" s="3">
        <f t="shared" si="20"/>
        <v>0.0625</v>
      </c>
      <c r="O66" s="3">
        <f t="shared" si="21"/>
        <v>221484072</v>
      </c>
      <c r="P66" s="3">
        <f t="shared" si="22"/>
        <v>268928</v>
      </c>
      <c r="Q66" s="3">
        <f t="shared" si="23"/>
        <v>10070</v>
      </c>
      <c r="R66" s="3">
        <f t="shared" si="24"/>
        <v>791930</v>
      </c>
      <c r="S66" s="3">
        <f t="shared" si="25"/>
        <v>-24112</v>
      </c>
    </row>
    <row r="67" spans="1:19">
      <c r="B67" s="2">
        <v>222555000</v>
      </c>
      <c r="C67" s="3">
        <f t="shared" si="13"/>
        <v>802000</v>
      </c>
      <c r="D67" s="2">
        <v>222308100</v>
      </c>
      <c r="E67" s="3">
        <f t="shared" si="14"/>
        <v>824000</v>
      </c>
      <c r="F67" s="3">
        <f t="shared" si="15"/>
        <v>32000</v>
      </c>
      <c r="G67" s="3">
        <f t="shared" si="26"/>
        <v>3</v>
      </c>
      <c r="H67" s="3">
        <f t="shared" si="16"/>
        <v>246900</v>
      </c>
      <c r="I67" s="3">
        <f t="shared" si="17"/>
        <v>-22000</v>
      </c>
      <c r="J67" s="1">
        <v>-5632</v>
      </c>
      <c r="K67" s="3">
        <f t="shared" si="27"/>
        <v>-8960</v>
      </c>
      <c r="L67" s="3">
        <f t="shared" si="18"/>
        <v>0.5</v>
      </c>
      <c r="M67" s="3">
        <f t="shared" si="19"/>
        <v>608</v>
      </c>
      <c r="N67" s="3">
        <f t="shared" si="20"/>
        <v>0.0625</v>
      </c>
      <c r="O67" s="3">
        <f t="shared" si="21"/>
        <v>222308138</v>
      </c>
      <c r="P67" s="3">
        <f t="shared" si="22"/>
        <v>246862</v>
      </c>
      <c r="Q67" s="3">
        <f t="shared" si="23"/>
        <v>-22066</v>
      </c>
      <c r="R67" s="3">
        <f t="shared" si="24"/>
        <v>824066</v>
      </c>
      <c r="S67" s="3">
        <f t="shared" si="25"/>
        <v>32136</v>
      </c>
    </row>
    <row r="68" spans="1:19">
      <c r="B68" s="2">
        <v>223357000</v>
      </c>
      <c r="C68" s="3">
        <f t="shared" si="13"/>
        <v>802000</v>
      </c>
      <c r="D68" s="2">
        <v>223084100</v>
      </c>
      <c r="E68" s="3">
        <f t="shared" si="14"/>
        <v>776000</v>
      </c>
      <c r="F68" s="3">
        <f t="shared" si="15"/>
        <v>-48000</v>
      </c>
      <c r="G68" s="3">
        <f>E68/8000-100</f>
        <v>-3</v>
      </c>
      <c r="H68" s="3">
        <f t="shared" si="16"/>
        <v>272900</v>
      </c>
      <c r="I68" s="3">
        <f t="shared" si="17"/>
        <v>26000</v>
      </c>
      <c r="J68" s="1">
        <v>2816</v>
      </c>
      <c r="K68" s="3">
        <f>J68-J67</f>
        <v>8448</v>
      </c>
      <c r="L68" s="3">
        <f t="shared" si="18"/>
        <v>0.5</v>
      </c>
      <c r="M68" s="3">
        <f t="shared" si="19"/>
        <v>233.6</v>
      </c>
      <c r="N68" s="3">
        <f t="shared" si="20"/>
        <v>0.0625</v>
      </c>
      <c r="O68" s="3">
        <f t="shared" si="21"/>
        <v>223084114.6</v>
      </c>
      <c r="P68" s="3">
        <f t="shared" si="22"/>
        <v>272885.400000006</v>
      </c>
      <c r="Q68" s="3">
        <f t="shared" si="23"/>
        <v>26023.400000006</v>
      </c>
      <c r="R68" s="3">
        <f t="shared" si="24"/>
        <v>775976.599999994</v>
      </c>
      <c r="S68" s="3">
        <f t="shared" si="25"/>
        <v>-48089.400000006</v>
      </c>
    </row>
    <row r="69" spans="1:19">
      <c r="A69" t="s">
        <v>18</v>
      </c>
      <c r="B69" s="3">
        <f>SUM(B49:B68)/COUNT(B49:B68)</f>
        <v>215738000</v>
      </c>
      <c r="C69" s="3">
        <f>SUM(C49:C68)/COUNT(C49:C68)</f>
        <v>802000</v>
      </c>
      <c r="D69" s="3">
        <f t="shared" ref="D69:S69" si="28">SUM(D49:D68)/COUNT(D49:D68)</f>
        <v>215475300</v>
      </c>
      <c r="E69" s="3">
        <f t="shared" si="28"/>
        <v>802000</v>
      </c>
      <c r="F69" s="3">
        <f t="shared" si="28"/>
        <v>0</v>
      </c>
      <c r="G69" s="3">
        <f>SUM(G49:G68)/COUNT(G49:G68)</f>
        <v>0.25</v>
      </c>
      <c r="H69" s="3">
        <f t="shared" si="28"/>
        <v>262700</v>
      </c>
      <c r="I69" s="3">
        <f t="shared" si="28"/>
        <v>0</v>
      </c>
      <c r="J69" s="3">
        <f>SUM(J49:J68)/COUNT(J49:J68)</f>
        <v>-179.2</v>
      </c>
      <c r="K69" s="3">
        <f>J69-J68</f>
        <v>-2995.2</v>
      </c>
      <c r="L69" s="3">
        <f t="shared" si="28"/>
        <v>0.5</v>
      </c>
      <c r="M69" s="3">
        <f t="shared" si="28"/>
        <v>245.28</v>
      </c>
      <c r="N69" s="3">
        <f t="shared" si="28"/>
        <v>0.0625</v>
      </c>
      <c r="O69" s="3">
        <f t="shared" si="28"/>
        <v>215475315.33</v>
      </c>
      <c r="P69" s="3">
        <f t="shared" si="28"/>
        <v>262684.67</v>
      </c>
      <c r="Q69" s="3">
        <f t="shared" si="28"/>
        <v>-0.729999999701977</v>
      </c>
      <c r="R69" s="3">
        <f t="shared" si="28"/>
        <v>802000.73</v>
      </c>
      <c r="S69" s="3">
        <f t="shared" si="28"/>
        <v>1.12999999970198</v>
      </c>
    </row>
    <row r="70" spans="1:19">
      <c r="J70" s="1"/>
    </row>
    <row r="71" spans="1:19">
      <c r="J71" s="1"/>
    </row>
    <row r="72" spans="1:19">
      <c r="J72" s="1"/>
    </row>
    <row r="73" spans="1:19">
      <c r="J73" s="1"/>
    </row>
    <row r="74" spans="1:19">
      <c r="J74" s="1"/>
    </row>
    <row r="75" spans="1:19">
      <c r="J75" s="1"/>
    </row>
    <row r="76" spans="1:19">
      <c r="J76" s="1"/>
    </row>
    <row r="77" spans="1:19">
      <c r="J77" s="1"/>
    </row>
    <row r="78" spans="1:19">
      <c r="J78" s="1"/>
    </row>
    <row r="79" spans="1:19">
      <c r="J79" s="1"/>
    </row>
    <row r="80" spans="1:19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workbookViewId="0">
      <selection activeCell="H27" sqref="H27"/>
    </sheetView>
  </sheetViews>
  <sheetFormatPr defaultColWidth="9" defaultRowHeight="13.5" outlineLevelCol="5"/>
  <cols>
    <col min="1" max="3" width="10.375" customWidth="1"/>
    <col min="4" max="4" width="6.375" customWidth="1"/>
    <col min="5" max="5" width="5.375" customWidth="1"/>
    <col min="6" max="6" width="4.375" customWidth="1"/>
    <col min="7" max="8" width="14.875" customWidth="1"/>
    <col min="9" max="9" width="15.875" customWidth="1"/>
  </cols>
  <sheetData>
    <row r="1" s="1" customFormat="1" spans="1:6">
      <c r="A1" s="1">
        <v>170425000</v>
      </c>
      <c r="B1" s="1">
        <v>170980100</v>
      </c>
      <c r="C1" s="1">
        <v>170988630</v>
      </c>
      <c r="D1" s="1">
        <v>0</v>
      </c>
      <c r="E1" s="1">
        <v>0</v>
      </c>
      <c r="F1" s="1">
        <v>0</v>
      </c>
    </row>
    <row r="2" s="1" customFormat="1" spans="1:6">
      <c r="A2" s="1">
        <v>171227000</v>
      </c>
      <c r="B2" s="1">
        <v>171756100</v>
      </c>
      <c r="C2" s="1">
        <v>171782630</v>
      </c>
      <c r="D2" s="1">
        <v>256</v>
      </c>
      <c r="E2" s="1">
        <v>0</v>
      </c>
      <c r="F2" s="1">
        <v>0</v>
      </c>
    </row>
    <row r="3" s="1" customFormat="1" spans="1:6">
      <c r="A3" s="1">
        <v>172029000</v>
      </c>
      <c r="B3" s="1">
        <v>172564100</v>
      </c>
      <c r="C3" s="1">
        <v>172584630</v>
      </c>
      <c r="D3" s="1">
        <v>-512</v>
      </c>
      <c r="E3" s="1">
        <v>256</v>
      </c>
      <c r="F3" s="1">
        <v>0</v>
      </c>
    </row>
    <row r="4" s="1" customFormat="1" spans="1:6">
      <c r="A4" s="1">
        <v>172831000</v>
      </c>
      <c r="B4" s="1">
        <v>173364100</v>
      </c>
      <c r="C4" s="1">
        <v>173386630</v>
      </c>
      <c r="D4" s="1">
        <v>768</v>
      </c>
      <c r="E4" s="1">
        <v>-256</v>
      </c>
      <c r="F4" s="1">
        <v>256</v>
      </c>
    </row>
    <row r="5" s="1" customFormat="1" spans="1:6">
      <c r="A5" s="1">
        <v>173633000</v>
      </c>
      <c r="B5" s="1">
        <v>174188100</v>
      </c>
      <c r="C5" s="1">
        <v>174204630</v>
      </c>
      <c r="D5" s="1">
        <v>-1024</v>
      </c>
      <c r="E5" s="1">
        <v>512</v>
      </c>
      <c r="F5" s="1">
        <v>0</v>
      </c>
    </row>
    <row r="6" s="1" customFormat="1" spans="1:6">
      <c r="A6" s="1">
        <v>174435000</v>
      </c>
      <c r="B6" s="1">
        <v>174964100</v>
      </c>
      <c r="C6" s="1">
        <v>174990630</v>
      </c>
      <c r="D6" s="1">
        <v>1280</v>
      </c>
      <c r="E6" s="1">
        <v>-512</v>
      </c>
      <c r="F6" s="1">
        <v>512</v>
      </c>
    </row>
    <row r="7" s="1" customFormat="1" spans="1:6">
      <c r="A7" s="1">
        <v>175237000</v>
      </c>
      <c r="B7" s="1">
        <v>175780100</v>
      </c>
      <c r="C7" s="1">
        <v>175792630</v>
      </c>
      <c r="D7" s="1">
        <v>-1536</v>
      </c>
      <c r="E7" s="1">
        <v>768</v>
      </c>
      <c r="F7" s="1">
        <v>0</v>
      </c>
    </row>
    <row r="8" s="1" customFormat="1" spans="1:6">
      <c r="A8" s="1">
        <v>176039000</v>
      </c>
      <c r="B8" s="1">
        <v>176572100</v>
      </c>
      <c r="C8" s="1">
        <v>176602630</v>
      </c>
      <c r="D8" s="1">
        <v>768</v>
      </c>
      <c r="E8" s="1">
        <v>-768</v>
      </c>
      <c r="F8" s="1">
        <v>768</v>
      </c>
    </row>
    <row r="9" s="1" customFormat="1" spans="1:6">
      <c r="A9" s="1">
        <v>176841000</v>
      </c>
      <c r="B9" s="1">
        <v>177396100</v>
      </c>
      <c r="C9" s="1">
        <v>177404630</v>
      </c>
      <c r="D9" s="1">
        <v>0</v>
      </c>
      <c r="E9" s="1">
        <v>0</v>
      </c>
      <c r="F9" s="1">
        <v>0</v>
      </c>
    </row>
    <row r="10" s="1" customFormat="1" spans="1:6">
      <c r="A10" s="1">
        <v>177643000</v>
      </c>
      <c r="B10" s="1">
        <v>178172100</v>
      </c>
      <c r="C10" s="1">
        <v>178198630</v>
      </c>
      <c r="D10" s="1">
        <v>256</v>
      </c>
      <c r="E10" s="1">
        <v>0</v>
      </c>
      <c r="F10" s="1">
        <v>0</v>
      </c>
    </row>
    <row r="11" s="1" customFormat="1" spans="1:6">
      <c r="A11" s="1">
        <v>178445000</v>
      </c>
      <c r="B11" s="1">
        <v>178980100</v>
      </c>
      <c r="C11" s="1">
        <v>179000630</v>
      </c>
      <c r="D11" s="1">
        <v>-512</v>
      </c>
      <c r="E11" s="1">
        <v>256</v>
      </c>
      <c r="F11" s="1">
        <v>0</v>
      </c>
    </row>
    <row r="12" s="1" customFormat="1" spans="1:6">
      <c r="A12" s="1">
        <v>179247000</v>
      </c>
      <c r="B12" s="1">
        <v>179780100</v>
      </c>
      <c r="C12" s="1">
        <v>179802630</v>
      </c>
      <c r="D12" s="1">
        <v>768</v>
      </c>
      <c r="E12" s="1">
        <v>-256</v>
      </c>
      <c r="F12" s="1">
        <v>256</v>
      </c>
    </row>
    <row r="13" s="1" customFormat="1" spans="1:6">
      <c r="A13" s="1">
        <v>180049000</v>
      </c>
      <c r="B13" s="1">
        <v>180604100</v>
      </c>
      <c r="C13" s="1">
        <v>180620630</v>
      </c>
      <c r="D13" s="1">
        <v>-1024</v>
      </c>
      <c r="E13" s="1">
        <v>512</v>
      </c>
      <c r="F13" s="1">
        <v>0</v>
      </c>
    </row>
    <row r="14" s="1" customFormat="1" spans="1:6">
      <c r="A14" s="1">
        <v>180851000</v>
      </c>
      <c r="B14" s="1">
        <v>181380100</v>
      </c>
      <c r="C14" s="1">
        <v>181406630</v>
      </c>
      <c r="D14" s="1">
        <v>1280</v>
      </c>
      <c r="E14" s="1">
        <v>-512</v>
      </c>
      <c r="F14" s="1">
        <v>512</v>
      </c>
    </row>
    <row r="15" s="1" customFormat="1" spans="1:6">
      <c r="A15" s="1">
        <v>181653000</v>
      </c>
      <c r="B15" s="1">
        <v>182196100</v>
      </c>
      <c r="C15" s="1">
        <v>182208630</v>
      </c>
      <c r="D15" s="1">
        <v>-1536</v>
      </c>
      <c r="E15" s="1">
        <v>768</v>
      </c>
      <c r="F15" s="1">
        <v>0</v>
      </c>
    </row>
    <row r="16" s="1" customFormat="1" spans="1:6">
      <c r="A16" s="1">
        <v>182455000</v>
      </c>
      <c r="B16" s="1">
        <v>182988100</v>
      </c>
      <c r="C16" s="1">
        <v>183018630</v>
      </c>
      <c r="D16" s="1">
        <v>768</v>
      </c>
      <c r="E16" s="1">
        <v>-768</v>
      </c>
      <c r="F16" s="1">
        <v>768</v>
      </c>
    </row>
    <row r="17" s="1" customFormat="1" spans="1:6">
      <c r="A17" s="1">
        <v>183257000</v>
      </c>
      <c r="B17" s="1">
        <v>183812100</v>
      </c>
      <c r="C17" s="1">
        <v>183820630</v>
      </c>
      <c r="D17" s="1">
        <v>0</v>
      </c>
      <c r="E17" s="1">
        <v>0</v>
      </c>
      <c r="F17" s="1">
        <v>0</v>
      </c>
    </row>
    <row r="18" s="1" customFormat="1" spans="1:6">
      <c r="A18" s="1">
        <v>184059000</v>
      </c>
      <c r="B18" s="1">
        <v>184588100</v>
      </c>
      <c r="C18" s="1">
        <v>184614630</v>
      </c>
      <c r="D18" s="1">
        <v>256</v>
      </c>
      <c r="E18" s="1">
        <v>0</v>
      </c>
      <c r="F18" s="1">
        <v>0</v>
      </c>
    </row>
    <row r="19" s="1" customFormat="1" spans="1:6">
      <c r="A19" s="1">
        <v>184861000</v>
      </c>
      <c r="B19" s="1">
        <v>185396100</v>
      </c>
      <c r="C19" s="1">
        <v>185416630</v>
      </c>
      <c r="D19" s="1">
        <v>-512</v>
      </c>
      <c r="E19" s="1">
        <v>256</v>
      </c>
      <c r="F19" s="1">
        <v>0</v>
      </c>
    </row>
    <row r="20" s="1" customFormat="1" spans="1:6">
      <c r="A20" s="1">
        <v>185663000</v>
      </c>
      <c r="B20" s="1">
        <v>186196100</v>
      </c>
      <c r="C20" s="1">
        <v>186218630</v>
      </c>
      <c r="D20" s="1">
        <v>768</v>
      </c>
      <c r="E20" s="1">
        <v>-256</v>
      </c>
      <c r="F20" s="1">
        <v>256</v>
      </c>
    </row>
    <row r="21" s="1" customFormat="1" spans="1:6">
      <c r="A21" s="1">
        <v>186465000</v>
      </c>
      <c r="B21" s="1">
        <v>187020100</v>
      </c>
      <c r="C21" s="1">
        <v>187036630</v>
      </c>
      <c r="D21" s="1">
        <v>-1024</v>
      </c>
      <c r="E21" s="1">
        <v>512</v>
      </c>
      <c r="F21" s="1">
        <v>0</v>
      </c>
    </row>
    <row r="22" s="1" customFormat="1" spans="1:6">
      <c r="A22" s="1">
        <v>187267000</v>
      </c>
      <c r="B22" s="1">
        <v>187796100</v>
      </c>
      <c r="C22" s="1">
        <v>187822630</v>
      </c>
      <c r="D22" s="1">
        <v>1280</v>
      </c>
      <c r="E22" s="1">
        <v>-512</v>
      </c>
      <c r="F22" s="1">
        <v>512</v>
      </c>
    </row>
    <row r="23" s="1" customFormat="1" spans="1:6">
      <c r="A23" s="1">
        <v>188069000</v>
      </c>
      <c r="B23" s="1">
        <v>188612100</v>
      </c>
      <c r="C23" s="1">
        <v>188624630</v>
      </c>
      <c r="D23" s="1">
        <v>-1536</v>
      </c>
      <c r="E23" s="1">
        <v>768</v>
      </c>
      <c r="F23" s="1">
        <v>0</v>
      </c>
    </row>
    <row r="24" s="1" customFormat="1" spans="1:6">
      <c r="A24" s="1">
        <v>188871000</v>
      </c>
      <c r="B24" s="1">
        <v>189404100</v>
      </c>
      <c r="C24" s="1">
        <v>189434630</v>
      </c>
      <c r="D24" s="1">
        <v>768</v>
      </c>
      <c r="E24" s="1">
        <v>-768</v>
      </c>
      <c r="F24" s="1">
        <v>768</v>
      </c>
    </row>
    <row r="25" s="1" customFormat="1" spans="1:6">
      <c r="A25" s="1">
        <v>189673000</v>
      </c>
      <c r="B25" s="1">
        <v>190228100</v>
      </c>
      <c r="C25" s="1">
        <v>190236630</v>
      </c>
      <c r="D25" s="1">
        <v>0</v>
      </c>
      <c r="E25" s="1">
        <v>0</v>
      </c>
      <c r="F25" s="1">
        <v>0</v>
      </c>
    </row>
    <row r="26" s="1" customFormat="1" spans="1:6">
      <c r="A26" s="1">
        <v>190475000</v>
      </c>
      <c r="B26" s="1">
        <v>191004100</v>
      </c>
      <c r="C26" s="1">
        <v>191030630</v>
      </c>
      <c r="D26" s="1">
        <v>256</v>
      </c>
      <c r="E26" s="1">
        <v>0</v>
      </c>
      <c r="F26" s="1">
        <v>0</v>
      </c>
    </row>
    <row r="27" s="1" customFormat="1" spans="1:6">
      <c r="A27" s="1">
        <v>191277000</v>
      </c>
      <c r="B27" s="1">
        <v>191812100</v>
      </c>
      <c r="C27" s="1">
        <v>191832630</v>
      </c>
      <c r="D27" s="1">
        <v>-512</v>
      </c>
      <c r="E27" s="1">
        <v>256</v>
      </c>
      <c r="F27" s="1">
        <v>0</v>
      </c>
    </row>
    <row r="28" s="1" customFormat="1" spans="1:6">
      <c r="A28" s="1">
        <v>192079000</v>
      </c>
      <c r="B28" s="1">
        <v>192612100</v>
      </c>
      <c r="C28" s="1">
        <v>192634630</v>
      </c>
      <c r="D28" s="1">
        <v>768</v>
      </c>
      <c r="E28" s="1">
        <v>-256</v>
      </c>
      <c r="F28" s="1">
        <v>256</v>
      </c>
    </row>
    <row r="29" s="1" customFormat="1" spans="1:6">
      <c r="A29" s="1">
        <v>192881000</v>
      </c>
      <c r="B29" s="1">
        <v>193436100</v>
      </c>
      <c r="C29" s="1">
        <v>193452630</v>
      </c>
      <c r="D29" s="1">
        <v>-1024</v>
      </c>
      <c r="E29" s="1">
        <v>512</v>
      </c>
      <c r="F29" s="1">
        <v>0</v>
      </c>
    </row>
    <row r="30" s="1" customFormat="1" spans="1:6">
      <c r="A30" s="1">
        <v>193683000</v>
      </c>
      <c r="B30" s="1">
        <v>194212100</v>
      </c>
      <c r="C30" s="1">
        <v>194238630</v>
      </c>
      <c r="D30" s="1">
        <v>1280</v>
      </c>
      <c r="E30" s="1">
        <v>-512</v>
      </c>
      <c r="F30" s="1">
        <v>512</v>
      </c>
    </row>
    <row r="31" s="1" customFormat="1" spans="1:6">
      <c r="A31" s="1">
        <v>194485000</v>
      </c>
      <c r="B31" s="1">
        <v>195028100</v>
      </c>
      <c r="C31" s="1">
        <v>195040630</v>
      </c>
      <c r="D31" s="1">
        <v>-1536</v>
      </c>
      <c r="E31" s="1">
        <v>768</v>
      </c>
      <c r="F31" s="1">
        <v>0</v>
      </c>
    </row>
    <row r="32" s="1" customFormat="1" spans="1:6">
      <c r="A32" s="1">
        <v>195287000</v>
      </c>
      <c r="B32" s="1">
        <v>195820100</v>
      </c>
      <c r="C32" s="1">
        <v>195850630</v>
      </c>
      <c r="D32" s="1">
        <v>768</v>
      </c>
      <c r="E32" s="1">
        <v>-768</v>
      </c>
      <c r="F32" s="1">
        <v>768</v>
      </c>
    </row>
    <row r="33" s="1" customFormat="1" spans="1:6">
      <c r="A33" s="1">
        <v>196089000</v>
      </c>
      <c r="B33" s="1">
        <v>196644100</v>
      </c>
      <c r="C33" s="1">
        <v>196652630</v>
      </c>
      <c r="D33" s="1">
        <v>0</v>
      </c>
      <c r="E33" s="1">
        <v>0</v>
      </c>
      <c r="F33" s="1">
        <v>0</v>
      </c>
    </row>
    <row r="34" s="1" customFormat="1" spans="1:6">
      <c r="A34" s="1">
        <v>196891000</v>
      </c>
      <c r="B34" s="1">
        <v>197420100</v>
      </c>
      <c r="C34" s="1">
        <v>197446630</v>
      </c>
      <c r="D34" s="1">
        <v>256</v>
      </c>
      <c r="E34" s="1">
        <v>0</v>
      </c>
      <c r="F34" s="1">
        <v>0</v>
      </c>
    </row>
    <row r="35" s="1" customFormat="1" spans="1:6">
      <c r="A35" s="1">
        <v>197693000</v>
      </c>
      <c r="B35" s="1">
        <v>198228100</v>
      </c>
      <c r="C35" s="1">
        <v>198248630</v>
      </c>
      <c r="D35" s="1">
        <v>-512</v>
      </c>
      <c r="E35" s="1">
        <v>256</v>
      </c>
      <c r="F35" s="1">
        <v>0</v>
      </c>
    </row>
    <row r="36" s="1" customFormat="1" spans="1:6">
      <c r="A36" s="1">
        <v>198495000</v>
      </c>
      <c r="B36" s="1">
        <v>199028100</v>
      </c>
      <c r="C36" s="1">
        <v>199050630</v>
      </c>
      <c r="D36" s="1">
        <v>768</v>
      </c>
      <c r="E36" s="1">
        <v>-256</v>
      </c>
      <c r="F36" s="1">
        <v>256</v>
      </c>
    </row>
    <row r="37" s="1" customFormat="1" spans="1:6">
      <c r="A37" s="1">
        <v>199297000</v>
      </c>
      <c r="B37" s="1">
        <v>199852100</v>
      </c>
      <c r="C37" s="1">
        <v>199868630</v>
      </c>
      <c r="D37" s="1">
        <v>-1024</v>
      </c>
      <c r="E37" s="1">
        <v>512</v>
      </c>
      <c r="F37" s="1">
        <v>0</v>
      </c>
    </row>
    <row r="38" s="1" customFormat="1" spans="1:6">
      <c r="A38" s="1">
        <v>200099000</v>
      </c>
      <c r="B38" s="1">
        <v>200628100</v>
      </c>
      <c r="C38" s="1">
        <v>200654630</v>
      </c>
      <c r="D38" s="1">
        <v>1280</v>
      </c>
      <c r="E38" s="1">
        <v>-512</v>
      </c>
      <c r="F38" s="1">
        <v>512</v>
      </c>
    </row>
    <row r="39" s="1" customFormat="1" spans="1:6">
      <c r="A39" s="1">
        <v>200901000</v>
      </c>
      <c r="B39" s="1">
        <v>201444100</v>
      </c>
      <c r="C39" s="1">
        <v>201456630</v>
      </c>
      <c r="D39" s="1">
        <v>-1536</v>
      </c>
      <c r="E39" s="1">
        <v>768</v>
      </c>
      <c r="F39" s="1">
        <v>0</v>
      </c>
    </row>
    <row r="40" s="1" customFormat="1" spans="1:6">
      <c r="A40" s="1">
        <v>201703000</v>
      </c>
      <c r="B40" s="1">
        <v>202236100</v>
      </c>
      <c r="C40" s="1">
        <v>202266630</v>
      </c>
      <c r="D40" s="1">
        <v>768</v>
      </c>
      <c r="E40" s="1">
        <v>-768</v>
      </c>
      <c r="F40" s="1">
        <v>768</v>
      </c>
    </row>
    <row r="41" s="1" customFormat="1" spans="1:6">
      <c r="A41" s="1">
        <v>202505000</v>
      </c>
      <c r="B41" s="1">
        <v>203060100</v>
      </c>
      <c r="C41" s="1">
        <v>203068630</v>
      </c>
      <c r="D41" s="1">
        <v>0</v>
      </c>
      <c r="E41" s="1">
        <v>0</v>
      </c>
      <c r="F41" s="1">
        <v>0</v>
      </c>
    </row>
    <row r="42" s="1" customFormat="1" spans="1:6">
      <c r="A42" s="1">
        <v>203307000</v>
      </c>
      <c r="B42" s="1">
        <v>203836100</v>
      </c>
      <c r="C42" s="1">
        <v>203862630</v>
      </c>
      <c r="D42" s="1">
        <v>256</v>
      </c>
      <c r="E42" s="1">
        <v>0</v>
      </c>
      <c r="F42" s="1">
        <v>0</v>
      </c>
    </row>
    <row r="43" s="1" customFormat="1" spans="1:6">
      <c r="A43" s="1">
        <v>204109000</v>
      </c>
      <c r="B43" s="1">
        <v>204644100</v>
      </c>
      <c r="C43" s="1">
        <v>204664630</v>
      </c>
      <c r="D43" s="1">
        <v>-512</v>
      </c>
      <c r="E43" s="1">
        <v>256</v>
      </c>
      <c r="F43" s="1">
        <v>0</v>
      </c>
    </row>
    <row r="44" s="1" customFormat="1" spans="1:6">
      <c r="A44" s="1">
        <v>204911000</v>
      </c>
      <c r="B44" s="1">
        <v>205444100</v>
      </c>
      <c r="C44" s="1">
        <v>205466630</v>
      </c>
      <c r="D44" s="1">
        <v>768</v>
      </c>
      <c r="E44" s="1">
        <v>-256</v>
      </c>
      <c r="F44" s="1">
        <v>256</v>
      </c>
    </row>
    <row r="45" s="1" customFormat="1" spans="1:6">
      <c r="A45" s="1">
        <v>205713000</v>
      </c>
      <c r="B45" s="1">
        <v>206268100</v>
      </c>
      <c r="C45" s="1">
        <v>206284630</v>
      </c>
      <c r="D45" s="1">
        <v>-1024</v>
      </c>
      <c r="E45" s="1">
        <v>512</v>
      </c>
      <c r="F45" s="1">
        <v>0</v>
      </c>
    </row>
    <row r="46" s="1" customFormat="1" spans="1:6">
      <c r="A46" s="1">
        <v>206515000</v>
      </c>
      <c r="B46" s="1">
        <v>207044100</v>
      </c>
      <c r="C46" s="1">
        <v>207070630</v>
      </c>
      <c r="D46" s="1">
        <v>1280</v>
      </c>
      <c r="E46" s="1">
        <v>-512</v>
      </c>
      <c r="F46" s="1">
        <v>512</v>
      </c>
    </row>
    <row r="47" s="1" customFormat="1" spans="1:6">
      <c r="A47" s="1">
        <v>207317000</v>
      </c>
      <c r="B47" s="1">
        <v>207860100</v>
      </c>
      <c r="C47" s="1">
        <v>207872630</v>
      </c>
      <c r="D47" s="1">
        <v>-1536</v>
      </c>
      <c r="E47" s="1">
        <v>768</v>
      </c>
      <c r="F47" s="1">
        <v>0</v>
      </c>
    </row>
    <row r="48" s="1" customFormat="1" spans="1:6">
      <c r="A48" s="1">
        <v>208119000</v>
      </c>
      <c r="B48" s="1">
        <v>208652100</v>
      </c>
      <c r="C48" s="1">
        <v>208682630</v>
      </c>
      <c r="D48" s="1">
        <v>768</v>
      </c>
      <c r="E48" s="1">
        <v>-768</v>
      </c>
      <c r="F48" s="1">
        <v>768</v>
      </c>
    </row>
    <row r="49" s="1" customFormat="1" spans="1:6">
      <c r="A49" s="1">
        <v>208921000</v>
      </c>
      <c r="B49" s="1">
        <v>209476100</v>
      </c>
      <c r="C49" s="1">
        <v>209484630</v>
      </c>
      <c r="D49" s="1">
        <v>0</v>
      </c>
      <c r="E49" s="1">
        <v>0</v>
      </c>
      <c r="F49" s="1">
        <v>0</v>
      </c>
    </row>
    <row r="50" s="1" customFormat="1" spans="1:6">
      <c r="A50" s="1">
        <v>209723000</v>
      </c>
      <c r="B50" s="1">
        <v>210252100</v>
      </c>
      <c r="C50" s="1">
        <v>210278630</v>
      </c>
      <c r="D50" s="1">
        <v>256</v>
      </c>
      <c r="E50" s="1">
        <v>0</v>
      </c>
      <c r="F50" s="1">
        <v>0</v>
      </c>
    </row>
    <row r="51" s="1" customFormat="1" spans="1:6">
      <c r="A51" s="1">
        <v>210525000</v>
      </c>
      <c r="B51" s="1">
        <v>211060100</v>
      </c>
      <c r="C51" s="1">
        <v>211080630</v>
      </c>
      <c r="D51" s="1">
        <v>-512</v>
      </c>
      <c r="E51" s="1">
        <v>256</v>
      </c>
      <c r="F51" s="1">
        <v>0</v>
      </c>
    </row>
    <row r="52" s="1" customFormat="1" spans="1:6">
      <c r="A52" s="1">
        <v>211327000</v>
      </c>
      <c r="B52" s="1">
        <v>211860100</v>
      </c>
      <c r="C52" s="1">
        <v>211882630</v>
      </c>
      <c r="D52" s="1">
        <v>768</v>
      </c>
      <c r="E52" s="1">
        <v>-256</v>
      </c>
      <c r="F52" s="1">
        <v>256</v>
      </c>
    </row>
    <row r="53" s="1" customFormat="1" spans="1:6">
      <c r="A53" s="1">
        <v>212129000</v>
      </c>
      <c r="B53" s="1">
        <v>212684100</v>
      </c>
      <c r="C53" s="1">
        <v>212700630</v>
      </c>
      <c r="D53" s="1">
        <v>-1024</v>
      </c>
      <c r="E53" s="1">
        <v>512</v>
      </c>
      <c r="F53" s="1">
        <v>0</v>
      </c>
    </row>
    <row r="54" s="1" customFormat="1" spans="1:6">
      <c r="A54" s="1">
        <v>212931000</v>
      </c>
      <c r="B54" s="1">
        <v>213460100</v>
      </c>
      <c r="C54" s="1">
        <v>213486630</v>
      </c>
      <c r="D54" s="1">
        <v>1280</v>
      </c>
      <c r="E54" s="1">
        <v>-512</v>
      </c>
      <c r="F54" s="1">
        <v>512</v>
      </c>
    </row>
    <row r="55" s="1" customFormat="1" spans="1:6">
      <c r="A55" s="1">
        <v>213733000</v>
      </c>
      <c r="B55" s="1">
        <v>214276100</v>
      </c>
      <c r="C55" s="1">
        <v>214288630</v>
      </c>
      <c r="D55" s="1">
        <v>-1536</v>
      </c>
      <c r="E55" s="1">
        <v>768</v>
      </c>
      <c r="F55" s="1">
        <v>0</v>
      </c>
    </row>
    <row r="56" s="1" customFormat="1" spans="1:6">
      <c r="A56" s="1">
        <v>214535000</v>
      </c>
      <c r="B56" s="1">
        <v>215068100</v>
      </c>
      <c r="C56" s="1">
        <v>215098630</v>
      </c>
      <c r="D56" s="1">
        <v>768</v>
      </c>
      <c r="E56" s="1">
        <v>-768</v>
      </c>
      <c r="F56" s="1">
        <v>768</v>
      </c>
    </row>
    <row r="57" s="1" customFormat="1" spans="1:6">
      <c r="A57" s="1">
        <v>215337000</v>
      </c>
      <c r="B57" s="1">
        <v>215892100</v>
      </c>
      <c r="C57" s="1">
        <v>215900630</v>
      </c>
      <c r="D57" s="1">
        <v>0</v>
      </c>
      <c r="E57" s="1">
        <v>0</v>
      </c>
      <c r="F57" s="1">
        <v>0</v>
      </c>
    </row>
    <row r="58" s="1" customFormat="1" spans="1:6">
      <c r="A58" s="1">
        <v>216139000</v>
      </c>
      <c r="B58" s="1">
        <v>216668100</v>
      </c>
      <c r="C58" s="1">
        <v>216694630</v>
      </c>
      <c r="D58" s="1">
        <v>256</v>
      </c>
      <c r="E58" s="1">
        <v>0</v>
      </c>
      <c r="F58" s="1">
        <v>0</v>
      </c>
    </row>
    <row r="59" s="1" customFormat="1" spans="1:6">
      <c r="A59" s="1">
        <v>216941000</v>
      </c>
      <c r="B59" s="1">
        <v>217476100</v>
      </c>
      <c r="C59" s="1">
        <v>217496630</v>
      </c>
      <c r="D59" s="1">
        <v>-512</v>
      </c>
      <c r="E59" s="1">
        <v>256</v>
      </c>
      <c r="F59" s="1">
        <v>0</v>
      </c>
    </row>
    <row r="60" s="1" customFormat="1" spans="1:6">
      <c r="A60" s="1">
        <v>217743000</v>
      </c>
      <c r="B60" s="1">
        <v>218276100</v>
      </c>
      <c r="C60" s="1">
        <v>218298630</v>
      </c>
      <c r="D60" s="1">
        <v>768</v>
      </c>
      <c r="E60" s="1">
        <v>-256</v>
      </c>
      <c r="F60" s="1">
        <v>256</v>
      </c>
    </row>
    <row r="61" s="1" customFormat="1" spans="1:6">
      <c r="A61" s="1">
        <v>218545000</v>
      </c>
      <c r="B61" s="1">
        <v>219100100</v>
      </c>
      <c r="C61" s="1">
        <v>219116630</v>
      </c>
      <c r="D61" s="1">
        <v>-1024</v>
      </c>
      <c r="E61" s="1">
        <v>512</v>
      </c>
      <c r="F61" s="1">
        <v>0</v>
      </c>
    </row>
    <row r="62" s="1" customFormat="1" spans="1:6">
      <c r="A62" s="1">
        <v>219347000</v>
      </c>
      <c r="B62" s="1">
        <v>219876100</v>
      </c>
      <c r="C62" s="1">
        <v>219902630</v>
      </c>
      <c r="D62" s="1">
        <v>1280</v>
      </c>
      <c r="E62" s="1">
        <v>-512</v>
      </c>
      <c r="F62" s="1">
        <v>512</v>
      </c>
    </row>
    <row r="63" s="1" customFormat="1" spans="1:6">
      <c r="A63" s="1">
        <v>220149000</v>
      </c>
      <c r="B63" s="1">
        <v>220692100</v>
      </c>
      <c r="C63" s="1">
        <v>220704630</v>
      </c>
      <c r="D63" s="1">
        <v>-1536</v>
      </c>
      <c r="E63" s="1">
        <v>768</v>
      </c>
      <c r="F63" s="1">
        <v>0</v>
      </c>
    </row>
    <row r="64" s="1" customFormat="1" spans="1:6">
      <c r="A64" s="1">
        <v>220951000</v>
      </c>
      <c r="B64" s="1">
        <v>221484100</v>
      </c>
      <c r="C64" s="1">
        <v>221514630</v>
      </c>
      <c r="D64" s="1">
        <v>768</v>
      </c>
      <c r="E64" s="1">
        <v>-768</v>
      </c>
      <c r="F64" s="1">
        <v>768</v>
      </c>
    </row>
    <row r="65" s="1" customFormat="1" spans="1:6">
      <c r="A65" s="1">
        <v>221753000</v>
      </c>
      <c r="B65" s="1">
        <v>222308100</v>
      </c>
      <c r="C65" s="1">
        <v>222316630</v>
      </c>
      <c r="D65" s="1">
        <v>0</v>
      </c>
      <c r="E65" s="1">
        <v>0</v>
      </c>
      <c r="F65" s="1">
        <v>0</v>
      </c>
    </row>
    <row r="66" s="1" customFormat="1" spans="1:6">
      <c r="A66" s="1">
        <v>222555000</v>
      </c>
      <c r="B66" s="1">
        <v>223084100</v>
      </c>
      <c r="C66" s="1">
        <v>223110630</v>
      </c>
      <c r="D66" s="1">
        <v>256</v>
      </c>
      <c r="E66" s="1">
        <v>0</v>
      </c>
      <c r="F66" s="1">
        <v>0</v>
      </c>
    </row>
    <row r="67" s="1" customFormat="1" spans="1:6">
      <c r="A67" s="1">
        <v>223357000</v>
      </c>
      <c r="B67" s="1">
        <v>223892100</v>
      </c>
      <c r="C67" s="1">
        <v>223912630</v>
      </c>
      <c r="D67" s="1">
        <v>-512</v>
      </c>
      <c r="E67" s="1">
        <v>256</v>
      </c>
      <c r="F67" s="1">
        <v>0</v>
      </c>
    </row>
    <row r="68" s="1" customFormat="1" spans="1:6">
      <c r="A68" s="1">
        <v>224159000</v>
      </c>
      <c r="B68" s="1">
        <v>224692100</v>
      </c>
      <c r="C68" s="1">
        <v>224714630</v>
      </c>
      <c r="D68" s="1">
        <v>768</v>
      </c>
      <c r="E68" s="1">
        <v>-256</v>
      </c>
      <c r="F68" s="1">
        <v>256</v>
      </c>
    </row>
    <row r="69" s="1" customFormat="1" spans="1:6">
      <c r="A69" s="1">
        <v>224961000</v>
      </c>
      <c r="B69" s="1">
        <v>225516100</v>
      </c>
      <c r="C69" s="1">
        <v>225532630</v>
      </c>
      <c r="D69" s="1">
        <v>-1024</v>
      </c>
      <c r="E69" s="1">
        <v>512</v>
      </c>
      <c r="F69" s="1">
        <v>0</v>
      </c>
    </row>
    <row r="70" s="1" customFormat="1" spans="1:6">
      <c r="A70" s="1">
        <v>225763000</v>
      </c>
      <c r="B70" s="1">
        <v>226292100</v>
      </c>
      <c r="C70" s="1">
        <v>226318630</v>
      </c>
      <c r="D70" s="1">
        <v>1280</v>
      </c>
      <c r="E70" s="1">
        <v>-512</v>
      </c>
      <c r="F70" s="1">
        <v>512</v>
      </c>
    </row>
    <row r="71" s="1" customFormat="1" spans="1:6">
      <c r="A71" s="1">
        <v>226565000</v>
      </c>
      <c r="B71" s="1">
        <v>227108100</v>
      </c>
      <c r="C71" s="1">
        <v>227120630</v>
      </c>
      <c r="D71" s="1">
        <v>-1536</v>
      </c>
      <c r="E71" s="1">
        <v>768</v>
      </c>
      <c r="F71" s="1">
        <v>0</v>
      </c>
    </row>
    <row r="72" s="1" customFormat="1" spans="1:6">
      <c r="A72" s="1">
        <v>227367000</v>
      </c>
      <c r="B72" s="1">
        <v>227900100</v>
      </c>
      <c r="C72" s="1">
        <v>227930630</v>
      </c>
      <c r="D72" s="1">
        <v>768</v>
      </c>
      <c r="E72" s="1">
        <v>-768</v>
      </c>
      <c r="F72" s="1">
        <v>768</v>
      </c>
    </row>
    <row r="73" s="1" customFormat="1" spans="1:6">
      <c r="A73" s="1">
        <v>228169000</v>
      </c>
      <c r="B73" s="1">
        <v>228724100</v>
      </c>
      <c r="C73" s="1">
        <v>228732630</v>
      </c>
      <c r="D73" s="1">
        <v>0</v>
      </c>
      <c r="E73" s="1">
        <v>0</v>
      </c>
      <c r="F73" s="1">
        <v>0</v>
      </c>
    </row>
    <row r="74" s="1" customFormat="1" spans="1:6">
      <c r="A74" s="1">
        <v>228971000</v>
      </c>
      <c r="B74" s="1">
        <v>229500100</v>
      </c>
      <c r="C74" s="1">
        <v>229526630</v>
      </c>
      <c r="D74" s="1">
        <v>256</v>
      </c>
      <c r="E74" s="1">
        <v>0</v>
      </c>
      <c r="F74" s="1">
        <v>0</v>
      </c>
    </row>
    <row r="75" s="1" customFormat="1" spans="1:6">
      <c r="A75" s="1">
        <v>229773000</v>
      </c>
      <c r="B75" s="1">
        <v>230308100</v>
      </c>
      <c r="C75" s="1">
        <v>230328630</v>
      </c>
      <c r="D75" s="1">
        <v>-512</v>
      </c>
      <c r="E75" s="1">
        <v>256</v>
      </c>
      <c r="F75" s="1">
        <v>0</v>
      </c>
    </row>
    <row r="76" s="1" customFormat="1" spans="1:6">
      <c r="A76" s="1">
        <v>230575000</v>
      </c>
      <c r="B76" s="1">
        <v>231108100</v>
      </c>
      <c r="C76" s="1">
        <v>231130630</v>
      </c>
      <c r="D76" s="1">
        <v>768</v>
      </c>
      <c r="E76" s="1">
        <v>-256</v>
      </c>
      <c r="F76" s="1">
        <v>256</v>
      </c>
    </row>
    <row r="77" s="1" customFormat="1" spans="1:6">
      <c r="A77" s="1">
        <v>231377000</v>
      </c>
      <c r="B77" s="1">
        <v>231932100</v>
      </c>
      <c r="C77" s="1">
        <v>231948630</v>
      </c>
      <c r="D77" s="1">
        <v>-1024</v>
      </c>
      <c r="E77" s="1">
        <v>512</v>
      </c>
      <c r="F77" s="1">
        <v>0</v>
      </c>
    </row>
    <row r="78" s="1" customFormat="1" spans="1:6">
      <c r="A78" s="1">
        <v>232179000</v>
      </c>
      <c r="B78" s="1">
        <v>232708100</v>
      </c>
      <c r="C78" s="1">
        <v>232734630</v>
      </c>
      <c r="D78" s="1">
        <v>1280</v>
      </c>
      <c r="E78" s="1">
        <v>-512</v>
      </c>
      <c r="F78" s="1">
        <v>512</v>
      </c>
    </row>
    <row r="79" s="1" customFormat="1" spans="1:6">
      <c r="A79" s="1">
        <v>232981000</v>
      </c>
      <c r="B79" s="1">
        <v>233524100</v>
      </c>
      <c r="C79" s="1">
        <v>233536630</v>
      </c>
      <c r="D79" s="1">
        <v>-1536</v>
      </c>
      <c r="E79" s="1">
        <v>768</v>
      </c>
      <c r="F79" s="1">
        <v>0</v>
      </c>
    </row>
    <row r="80" s="1" customFormat="1" spans="1:6">
      <c r="A80" s="1">
        <v>233783000</v>
      </c>
      <c r="B80" s="1">
        <v>234316100</v>
      </c>
      <c r="C80" s="1">
        <v>234346630</v>
      </c>
      <c r="D80" s="1">
        <v>768</v>
      </c>
      <c r="E80" s="1">
        <v>-768</v>
      </c>
      <c r="F80" s="1">
        <v>768</v>
      </c>
    </row>
    <row r="81" s="1" customFormat="1" spans="1:6">
      <c r="A81" s="1">
        <v>234585000</v>
      </c>
      <c r="B81" s="1">
        <v>235140100</v>
      </c>
      <c r="C81" s="1">
        <v>235148630</v>
      </c>
      <c r="D81" s="1">
        <v>0</v>
      </c>
      <c r="E81" s="1">
        <v>0</v>
      </c>
      <c r="F81" s="1">
        <v>0</v>
      </c>
    </row>
    <row r="82" s="1" customFormat="1" spans="1:6">
      <c r="A82" s="1">
        <v>235387000</v>
      </c>
      <c r="B82" s="1">
        <v>235916100</v>
      </c>
      <c r="C82" s="1">
        <v>235942630</v>
      </c>
      <c r="D82" s="1">
        <v>256</v>
      </c>
      <c r="E82" s="1">
        <v>0</v>
      </c>
      <c r="F82" s="1">
        <v>0</v>
      </c>
    </row>
    <row r="83" s="1" customFormat="1" spans="1:6">
      <c r="A83" s="1">
        <v>236189000</v>
      </c>
      <c r="B83" s="1">
        <v>236724100</v>
      </c>
      <c r="C83" s="1">
        <v>236744630</v>
      </c>
      <c r="D83" s="1">
        <v>-512</v>
      </c>
      <c r="E83" s="1">
        <v>256</v>
      </c>
      <c r="F83" s="1">
        <v>0</v>
      </c>
    </row>
    <row r="84" s="1" customFormat="1" spans="1:6">
      <c r="A84" s="1">
        <v>236991000</v>
      </c>
      <c r="B84" s="1">
        <v>237524100</v>
      </c>
      <c r="C84" s="1">
        <v>237546630</v>
      </c>
      <c r="D84" s="1">
        <v>768</v>
      </c>
      <c r="E84" s="1">
        <v>-256</v>
      </c>
      <c r="F84" s="1">
        <v>256</v>
      </c>
    </row>
    <row r="85" s="1" customFormat="1" spans="1:6">
      <c r="A85" s="1">
        <v>237793000</v>
      </c>
      <c r="B85" s="1">
        <v>238348100</v>
      </c>
      <c r="C85" s="1">
        <v>238364630</v>
      </c>
      <c r="D85" s="1">
        <v>-1024</v>
      </c>
      <c r="E85" s="1">
        <v>512</v>
      </c>
      <c r="F85" s="1">
        <v>0</v>
      </c>
    </row>
    <row r="86" s="1" customFormat="1" spans="1:6">
      <c r="A86" s="1">
        <v>238595000</v>
      </c>
      <c r="B86" s="1">
        <v>239124100</v>
      </c>
      <c r="C86" s="1">
        <v>239150630</v>
      </c>
      <c r="D86" s="1">
        <v>1280</v>
      </c>
      <c r="E86" s="1">
        <v>-512</v>
      </c>
      <c r="F86" s="1">
        <v>512</v>
      </c>
    </row>
    <row r="87" s="1" customFormat="1" spans="1:6">
      <c r="A87" s="1">
        <v>239397000</v>
      </c>
      <c r="B87" s="1">
        <v>239940100</v>
      </c>
      <c r="C87" s="1">
        <v>239952630</v>
      </c>
      <c r="D87" s="1">
        <v>-1536</v>
      </c>
      <c r="E87" s="1">
        <v>768</v>
      </c>
      <c r="F87" s="1">
        <v>0</v>
      </c>
    </row>
    <row r="88" s="1" customFormat="1" spans="1:6">
      <c r="A88" s="1">
        <v>240199000</v>
      </c>
      <c r="B88" s="1">
        <v>240732100</v>
      </c>
      <c r="C88" s="1">
        <v>240762630</v>
      </c>
      <c r="D88" s="1">
        <v>768</v>
      </c>
      <c r="E88" s="1">
        <v>-768</v>
      </c>
      <c r="F88" s="1">
        <v>768</v>
      </c>
    </row>
    <row r="89" s="1" customFormat="1" spans="1:6">
      <c r="A89" s="1">
        <v>241001000</v>
      </c>
      <c r="B89" s="1">
        <v>241556100</v>
      </c>
      <c r="C89" s="1">
        <v>241564630</v>
      </c>
      <c r="D89" s="1">
        <v>0</v>
      </c>
      <c r="E89" s="1">
        <v>0</v>
      </c>
      <c r="F89" s="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高高高高高高高高高高高高高高高高</cp:lastModifiedBy>
  <dcterms:created xsi:type="dcterms:W3CDTF">2023-05-12T11:15:00Z</dcterms:created>
  <dcterms:modified xsi:type="dcterms:W3CDTF">2026-07-24T08:23:13Z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287E116D0B314D0D8C4B35E57D7A9F39_12</vt:lpwstr>
  </property>
  <property fmtid="{D5CDD505-2E9C-101B-9397-08002B2CF9AE}" pid="4" name="CalculationRule">
    <vt:i4>0</vt:i4>
  </property>
</Properties>
</file>